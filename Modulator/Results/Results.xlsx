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shav\Desktop\QMUL\Research\modulator\Demo\Results\"/>
    </mc:Choice>
  </mc:AlternateContent>
  <xr:revisionPtr revIDLastSave="0" documentId="13_ncr:1_{1B98BF02-EA54-438F-916B-3272A88D1FCF}" xr6:coauthVersionLast="47" xr6:coauthVersionMax="47" xr10:uidLastSave="{00000000-0000-0000-0000-000000000000}"/>
  <bookViews>
    <workbookView xWindow="-110" yWindow="-110" windowWidth="25820" windowHeight="15500" activeTab="6" xr2:uid="{00000000-000D-0000-FFFF-FFFF00000000}"/>
  </bookViews>
  <sheets>
    <sheet name="Survey A" sheetId="1" r:id="rId1"/>
    <sheet name="Survey B" sheetId="3" r:id="rId2"/>
    <sheet name="Survey C" sheetId="4" r:id="rId3"/>
    <sheet name="Survey D" sheetId="5" r:id="rId4"/>
    <sheet name="Survey E" sheetId="6" r:id="rId5"/>
    <sheet name="Aggregated" sheetId="2" r:id="rId6"/>
    <sheet name="Ratings_By_Metho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7" l="1"/>
  <c r="D49" i="7"/>
  <c r="E49" i="7"/>
  <c r="F49" i="7"/>
  <c r="H49" i="7"/>
  <c r="I49" i="7"/>
  <c r="J49" i="7"/>
  <c r="K49" i="7"/>
  <c r="L49" i="7"/>
  <c r="B49" i="7"/>
  <c r="L47" i="7"/>
  <c r="L46" i="7"/>
  <c r="L45" i="7"/>
  <c r="L44" i="7"/>
  <c r="L39" i="7"/>
  <c r="L38" i="7"/>
  <c r="L37" i="7"/>
  <c r="L36" i="7"/>
  <c r="L31" i="7"/>
  <c r="L30" i="7"/>
  <c r="L29" i="7"/>
  <c r="L28" i="7"/>
  <c r="L27" i="7"/>
  <c r="L21" i="7"/>
  <c r="L20" i="7"/>
  <c r="L19" i="7"/>
  <c r="L18" i="7"/>
  <c r="L17" i="7"/>
  <c r="L11" i="7"/>
  <c r="L10" i="7"/>
  <c r="L9" i="7"/>
  <c r="L8" i="7"/>
  <c r="L7" i="7"/>
  <c r="L43" i="7"/>
  <c r="L42" i="7"/>
  <c r="L41" i="7"/>
  <c r="L40" i="7"/>
  <c r="L35" i="7"/>
  <c r="L34" i="7"/>
  <c r="L33" i="7"/>
  <c r="L32" i="7"/>
  <c r="L26" i="7"/>
  <c r="L25" i="7"/>
  <c r="L24" i="7"/>
  <c r="L23" i="7"/>
  <c r="L22" i="7"/>
  <c r="L16" i="7"/>
  <c r="L15" i="7"/>
  <c r="L14" i="7"/>
  <c r="L13" i="7"/>
  <c r="L12" i="7"/>
  <c r="L6" i="7"/>
  <c r="L5" i="7"/>
  <c r="L4" i="7"/>
  <c r="L3" i="7"/>
  <c r="L2" i="7"/>
  <c r="K47" i="7"/>
  <c r="K46" i="7"/>
  <c r="K45" i="7"/>
  <c r="K44" i="7"/>
  <c r="K39" i="7"/>
  <c r="K38" i="7"/>
  <c r="K37" i="7"/>
  <c r="K36" i="7"/>
  <c r="K31" i="7"/>
  <c r="K30" i="7"/>
  <c r="K29" i="7"/>
  <c r="K28" i="7"/>
  <c r="K27" i="7"/>
  <c r="K21" i="7"/>
  <c r="K20" i="7"/>
  <c r="K19" i="7"/>
  <c r="K18" i="7"/>
  <c r="K17" i="7"/>
  <c r="K11" i="7"/>
  <c r="K10" i="7"/>
  <c r="K9" i="7"/>
  <c r="K8" i="7"/>
  <c r="K7" i="7"/>
  <c r="K43" i="7"/>
  <c r="K42" i="7"/>
  <c r="K41" i="7"/>
  <c r="K40" i="7"/>
  <c r="K35" i="7"/>
  <c r="K34" i="7"/>
  <c r="K33" i="7"/>
  <c r="K32" i="7"/>
  <c r="K26" i="7"/>
  <c r="K25" i="7"/>
  <c r="K24" i="7"/>
  <c r="K23" i="7"/>
  <c r="K22" i="7"/>
  <c r="K16" i="7"/>
  <c r="K15" i="7"/>
  <c r="K14" i="7"/>
  <c r="K13" i="7"/>
  <c r="K12" i="7"/>
  <c r="K6" i="7"/>
  <c r="K5" i="7"/>
  <c r="K4" i="7"/>
  <c r="K3" i="7"/>
  <c r="K2" i="7"/>
  <c r="J47" i="7"/>
  <c r="J46" i="7"/>
  <c r="J45" i="7"/>
  <c r="J44" i="7"/>
  <c r="J39" i="7"/>
  <c r="J38" i="7"/>
  <c r="J37" i="7"/>
  <c r="J36" i="7"/>
  <c r="J31" i="7"/>
  <c r="J30" i="7"/>
  <c r="J29" i="7"/>
  <c r="J28" i="7"/>
  <c r="J27" i="7"/>
  <c r="J21" i="7"/>
  <c r="J20" i="7"/>
  <c r="J19" i="7"/>
  <c r="J18" i="7"/>
  <c r="J17" i="7"/>
  <c r="J11" i="7"/>
  <c r="J10" i="7"/>
  <c r="J9" i="7"/>
  <c r="J8" i="7"/>
  <c r="J7" i="7"/>
  <c r="J43" i="7"/>
  <c r="J42" i="7"/>
  <c r="J41" i="7"/>
  <c r="J40" i="7"/>
  <c r="J35" i="7"/>
  <c r="J34" i="7"/>
  <c r="J33" i="7"/>
  <c r="J32" i="7"/>
  <c r="J26" i="7"/>
  <c r="J25" i="7"/>
  <c r="J24" i="7"/>
  <c r="J23" i="7"/>
  <c r="J22" i="7"/>
  <c r="J16" i="7"/>
  <c r="J15" i="7"/>
  <c r="J14" i="7"/>
  <c r="J13" i="7"/>
  <c r="J12" i="7"/>
  <c r="J6" i="7"/>
  <c r="J5" i="7"/>
  <c r="J4" i="7"/>
  <c r="J3" i="7"/>
  <c r="J2" i="7"/>
  <c r="I47" i="7"/>
  <c r="I46" i="7"/>
  <c r="I45" i="7"/>
  <c r="I44" i="7"/>
  <c r="I39" i="7"/>
  <c r="I38" i="7"/>
  <c r="I37" i="7"/>
  <c r="I36" i="7"/>
  <c r="I31" i="7"/>
  <c r="I30" i="7"/>
  <c r="I29" i="7"/>
  <c r="I28" i="7"/>
  <c r="I27" i="7"/>
  <c r="I21" i="7"/>
  <c r="I20" i="7"/>
  <c r="I19" i="7"/>
  <c r="I18" i="7"/>
  <c r="I17" i="7"/>
  <c r="I11" i="7"/>
  <c r="I10" i="7"/>
  <c r="I9" i="7"/>
  <c r="I8" i="7"/>
  <c r="I7" i="7"/>
  <c r="I43" i="7"/>
  <c r="I42" i="7"/>
  <c r="I41" i="7"/>
  <c r="I40" i="7"/>
  <c r="I35" i="7"/>
  <c r="I34" i="7"/>
  <c r="I33" i="7"/>
  <c r="I32" i="7"/>
  <c r="I26" i="7"/>
  <c r="I25" i="7"/>
  <c r="I24" i="7"/>
  <c r="I23" i="7"/>
  <c r="I22" i="7"/>
  <c r="I16" i="7"/>
  <c r="I15" i="7"/>
  <c r="I14" i="7"/>
  <c r="I13" i="7"/>
  <c r="I12" i="7"/>
  <c r="I6" i="7"/>
  <c r="I5" i="7"/>
  <c r="I4" i="7"/>
  <c r="I3" i="7"/>
  <c r="I2" i="7"/>
  <c r="H11" i="7"/>
  <c r="H10" i="7"/>
  <c r="H9" i="7"/>
  <c r="H8" i="7"/>
  <c r="H7" i="7"/>
  <c r="H47" i="7"/>
  <c r="H46" i="7"/>
  <c r="H45" i="7"/>
  <c r="H44" i="7"/>
  <c r="H39" i="7"/>
  <c r="H38" i="7"/>
  <c r="H37" i="7"/>
  <c r="H36" i="7"/>
  <c r="H31" i="7"/>
  <c r="H30" i="7"/>
  <c r="H29" i="7"/>
  <c r="H28" i="7"/>
  <c r="H27" i="7"/>
  <c r="H21" i="7"/>
  <c r="H20" i="7"/>
  <c r="H19" i="7"/>
  <c r="H18" i="7"/>
  <c r="H17" i="7"/>
  <c r="H35" i="7"/>
  <c r="H34" i="7"/>
  <c r="H33" i="7"/>
  <c r="H32" i="7"/>
  <c r="H26" i="7"/>
  <c r="H25" i="7"/>
  <c r="H24" i="7"/>
  <c r="H23" i="7"/>
  <c r="H22" i="7"/>
  <c r="H6" i="7"/>
  <c r="H5" i="7"/>
  <c r="H4" i="7"/>
  <c r="H3" i="7"/>
  <c r="H2" i="7"/>
  <c r="H43" i="7"/>
  <c r="H42" i="7"/>
  <c r="H41" i="7"/>
  <c r="H40" i="7"/>
  <c r="H16" i="7"/>
  <c r="H15" i="7"/>
  <c r="H14" i="7"/>
  <c r="H13" i="7"/>
  <c r="H12" i="7"/>
  <c r="F47" i="7"/>
  <c r="F46" i="7"/>
  <c r="F45" i="7"/>
  <c r="F44" i="7"/>
  <c r="F39" i="7"/>
  <c r="F38" i="7"/>
  <c r="F37" i="7"/>
  <c r="F36" i="7"/>
  <c r="F31" i="7"/>
  <c r="F30" i="7"/>
  <c r="F29" i="7"/>
  <c r="F28" i="7"/>
  <c r="F27" i="7"/>
  <c r="F21" i="7"/>
  <c r="F20" i="7"/>
  <c r="F19" i="7"/>
  <c r="F18" i="7"/>
  <c r="F17" i="7"/>
  <c r="F11" i="7"/>
  <c r="F10" i="7"/>
  <c r="F9" i="7"/>
  <c r="F8" i="7"/>
  <c r="F7" i="7"/>
  <c r="F43" i="7"/>
  <c r="F42" i="7"/>
  <c r="F41" i="7"/>
  <c r="F40" i="7"/>
  <c r="F35" i="7"/>
  <c r="F34" i="7"/>
  <c r="F33" i="7"/>
  <c r="F32" i="7"/>
  <c r="F26" i="7"/>
  <c r="F25" i="7"/>
  <c r="F24" i="7"/>
  <c r="F23" i="7"/>
  <c r="F22" i="7"/>
  <c r="F16" i="7"/>
  <c r="F15" i="7"/>
  <c r="F14" i="7"/>
  <c r="F13" i="7"/>
  <c r="F12" i="7"/>
  <c r="F6" i="7"/>
  <c r="F5" i="7"/>
  <c r="F4" i="7"/>
  <c r="F3" i="7"/>
  <c r="F2" i="7"/>
  <c r="B47" i="7"/>
  <c r="B46" i="7"/>
  <c r="B45" i="7"/>
  <c r="B44" i="7"/>
  <c r="C47" i="7"/>
  <c r="C46" i="7"/>
  <c r="C45" i="7"/>
  <c r="C44" i="7"/>
  <c r="D47" i="7"/>
  <c r="D46" i="7"/>
  <c r="D45" i="7"/>
  <c r="D44" i="7"/>
  <c r="E47" i="7"/>
  <c r="E46" i="7"/>
  <c r="E45" i="7"/>
  <c r="E44" i="7"/>
  <c r="E39" i="7"/>
  <c r="E38" i="7"/>
  <c r="E37" i="7"/>
  <c r="E36" i="7"/>
  <c r="E31" i="7"/>
  <c r="E30" i="7"/>
  <c r="E29" i="7"/>
  <c r="E28" i="7"/>
  <c r="E27" i="7"/>
  <c r="E21" i="7"/>
  <c r="E20" i="7"/>
  <c r="E19" i="7"/>
  <c r="E18" i="7"/>
  <c r="E17" i="7"/>
  <c r="E11" i="7"/>
  <c r="E10" i="7"/>
  <c r="E9" i="7"/>
  <c r="E8" i="7"/>
  <c r="E7" i="7"/>
  <c r="E43" i="7"/>
  <c r="E42" i="7"/>
  <c r="E41" i="7"/>
  <c r="E40" i="7"/>
  <c r="E35" i="7"/>
  <c r="E34" i="7"/>
  <c r="E33" i="7"/>
  <c r="E32" i="7"/>
  <c r="E26" i="7"/>
  <c r="E25" i="7"/>
  <c r="E24" i="7"/>
  <c r="E23" i="7"/>
  <c r="E22" i="7"/>
  <c r="E16" i="7"/>
  <c r="E15" i="7"/>
  <c r="E14" i="7"/>
  <c r="E13" i="7"/>
  <c r="E12" i="7"/>
  <c r="E6" i="7"/>
  <c r="E5" i="7"/>
  <c r="E4" i="7"/>
  <c r="E3" i="7"/>
  <c r="E2" i="7"/>
  <c r="D39" i="7"/>
  <c r="D38" i="7"/>
  <c r="D37" i="7"/>
  <c r="D36" i="7"/>
  <c r="D31" i="7"/>
  <c r="D30" i="7"/>
  <c r="D29" i="7"/>
  <c r="D28" i="7"/>
  <c r="D27" i="7"/>
  <c r="D21" i="7"/>
  <c r="D20" i="7"/>
  <c r="D19" i="7"/>
  <c r="D18" i="7"/>
  <c r="D17" i="7"/>
  <c r="D11" i="7"/>
  <c r="D10" i="7"/>
  <c r="D9" i="7"/>
  <c r="D8" i="7"/>
  <c r="D7" i="7"/>
  <c r="D43" i="7"/>
  <c r="D42" i="7"/>
  <c r="D41" i="7"/>
  <c r="D40" i="7"/>
  <c r="D35" i="7"/>
  <c r="D34" i="7"/>
  <c r="D33" i="7"/>
  <c r="D32" i="7"/>
  <c r="D26" i="7"/>
  <c r="D25" i="7"/>
  <c r="D24" i="7"/>
  <c r="D23" i="7"/>
  <c r="D22" i="7"/>
  <c r="D16" i="7"/>
  <c r="D15" i="7"/>
  <c r="D14" i="7"/>
  <c r="D13" i="7"/>
  <c r="D12" i="7"/>
  <c r="D6" i="7"/>
  <c r="D5" i="7"/>
  <c r="D4" i="7"/>
  <c r="D3" i="7"/>
  <c r="D2" i="7"/>
  <c r="C11" i="7"/>
  <c r="C10" i="7"/>
  <c r="C9" i="7"/>
  <c r="C8" i="7"/>
  <c r="C7" i="7"/>
  <c r="C43" i="7"/>
  <c r="C42" i="7"/>
  <c r="C41" i="7"/>
  <c r="C40" i="7"/>
  <c r="C16" i="7"/>
  <c r="C15" i="7"/>
  <c r="C14" i="7"/>
  <c r="C13" i="7"/>
  <c r="C12" i="7"/>
  <c r="C39" i="7"/>
  <c r="C38" i="7"/>
  <c r="C37" i="7"/>
  <c r="C36" i="7"/>
  <c r="C31" i="7"/>
  <c r="C30" i="7"/>
  <c r="C29" i="7"/>
  <c r="C28" i="7"/>
  <c r="C27" i="7"/>
  <c r="C21" i="7"/>
  <c r="C20" i="7"/>
  <c r="C19" i="7"/>
  <c r="C18" i="7"/>
  <c r="C17" i="7"/>
  <c r="C35" i="7"/>
  <c r="C34" i="7"/>
  <c r="C33" i="7"/>
  <c r="C32" i="7"/>
  <c r="C26" i="7"/>
  <c r="C25" i="7"/>
  <c r="C24" i="7"/>
  <c r="C23" i="7"/>
  <c r="C22" i="7"/>
  <c r="C6" i="7"/>
  <c r="C5" i="7"/>
  <c r="C4" i="7"/>
  <c r="C3" i="7"/>
  <c r="C2" i="7"/>
  <c r="B41" i="7"/>
  <c r="B42" i="7"/>
  <c r="B43" i="7"/>
  <c r="B40" i="7"/>
  <c r="B39" i="7"/>
  <c r="B38" i="7"/>
  <c r="B37" i="7"/>
  <c r="B36" i="7"/>
  <c r="B35" i="7"/>
  <c r="B34" i="7"/>
  <c r="B33" i="7"/>
  <c r="B32" i="7"/>
  <c r="B31" i="7"/>
  <c r="B30" i="7"/>
  <c r="B29" i="7"/>
  <c r="B28" i="7"/>
  <c r="B27" i="7"/>
  <c r="B21" i="7"/>
  <c r="B20" i="7"/>
  <c r="B19" i="7"/>
  <c r="B18" i="7"/>
  <c r="B17" i="7"/>
  <c r="B26" i="7"/>
  <c r="B25" i="7"/>
  <c r="B24" i="7"/>
  <c r="B23" i="7"/>
  <c r="B22" i="7"/>
  <c r="B5" i="7"/>
  <c r="B4" i="7"/>
  <c r="B3" i="7"/>
  <c r="B2" i="7"/>
  <c r="B6" i="7"/>
  <c r="B13" i="7"/>
  <c r="B14" i="7"/>
  <c r="B15" i="7"/>
  <c r="B16" i="7"/>
  <c r="B12" i="7"/>
  <c r="B8" i="7"/>
  <c r="B9" i="7"/>
  <c r="B10" i="7"/>
  <c r="B11" i="7"/>
  <c r="B7" i="7"/>
  <c r="D71" i="2"/>
  <c r="D72" i="2"/>
  <c r="D3" i="2" a="1"/>
  <c r="D3" i="2" s="1"/>
  <c r="D4" i="2" a="1"/>
  <c r="D4" i="2" s="1"/>
  <c r="D5" i="2" a="1"/>
  <c r="D5" i="2" s="1"/>
  <c r="D6" i="2" a="1"/>
  <c r="D6" i="2" s="1"/>
  <c r="D7" i="2" a="1"/>
  <c r="D7" i="2" s="1"/>
  <c r="D8" i="2" a="1"/>
  <c r="D8" i="2" s="1"/>
  <c r="D9" i="2" a="1"/>
  <c r="D9" i="2" s="1"/>
  <c r="D10" i="2" a="1"/>
  <c r="D10" i="2" s="1"/>
  <c r="D11" i="2" a="1"/>
  <c r="D11" i="2" s="1"/>
  <c r="D12" i="2" a="1"/>
  <c r="D12" i="2" s="1"/>
  <c r="D13" i="2" a="1"/>
  <c r="D13" i="2" s="1"/>
  <c r="C13" i="2" a="1"/>
  <c r="C13" i="2" s="1"/>
  <c r="C12" i="2" a="1"/>
  <c r="C12" i="2" s="1"/>
  <c r="C11" i="2" a="1"/>
  <c r="C11" i="2" s="1"/>
  <c r="C10" i="2" a="1"/>
  <c r="C10" i="2" s="1"/>
  <c r="C9" i="2" a="1"/>
  <c r="C9" i="2" s="1"/>
  <c r="C8" i="2" a="1"/>
  <c r="C8" i="2" s="1"/>
  <c r="C7" i="2" a="1"/>
  <c r="C7" i="2" s="1"/>
  <c r="C6" i="2" a="1"/>
  <c r="C6" i="2" s="1"/>
  <c r="C5" i="2" a="1"/>
  <c r="C5" i="2" s="1"/>
  <c r="C4" i="2" a="1"/>
  <c r="C4" i="2" s="1"/>
  <c r="C3" i="2" a="1"/>
  <c r="C3" i="2" s="1"/>
  <c r="D2" i="2" a="1"/>
  <c r="D2" i="2"/>
  <c r="C2" i="2" a="1"/>
  <c r="C2" i="2" s="1"/>
  <c r="D70" i="2" l="1"/>
  <c r="D69" i="2"/>
  <c r="D68" i="2"/>
  <c r="D67" i="2"/>
  <c r="D66" i="2"/>
  <c r="E51" i="2"/>
  <c r="E52" i="2"/>
  <c r="E53" i="2"/>
  <c r="E54" i="2"/>
  <c r="E55" i="2"/>
  <c r="E56" i="2"/>
  <c r="E57" i="2"/>
  <c r="E58" i="2"/>
  <c r="E59" i="2"/>
  <c r="E60" i="2"/>
  <c r="E61" i="2"/>
  <c r="E50" i="2"/>
  <c r="D50" i="2" a="1"/>
  <c r="D50" i="2" s="1"/>
  <c r="D51" i="2" a="1"/>
  <c r="D51" i="2" s="1"/>
  <c r="D52" i="2" a="1"/>
  <c r="D52" i="2" s="1"/>
  <c r="D53" i="2" a="1"/>
  <c r="D53" i="2" s="1"/>
  <c r="D54" i="2" a="1"/>
  <c r="D54" i="2" s="1"/>
  <c r="D55" i="2" a="1"/>
  <c r="D55" i="2" s="1"/>
  <c r="D56" i="2" a="1"/>
  <c r="D56" i="2"/>
  <c r="D57" i="2" a="1"/>
  <c r="D57" i="2" s="1"/>
  <c r="D58" i="2" a="1"/>
  <c r="D58" i="2" s="1"/>
  <c r="D59" i="2" a="1"/>
  <c r="D59" i="2" s="1"/>
  <c r="D60" i="2" a="1"/>
  <c r="D60" i="2" s="1"/>
  <c r="H60" i="2" s="1"/>
  <c r="D61" i="2" a="1"/>
  <c r="D61" i="2" s="1"/>
  <c r="C61" i="2" a="1"/>
  <c r="C61" i="2" s="1"/>
  <c r="C60" i="2" a="1"/>
  <c r="C60" i="2" s="1"/>
  <c r="C59" i="2" a="1"/>
  <c r="C59" i="2" s="1"/>
  <c r="C58" i="2" a="1"/>
  <c r="C58" i="2" s="1"/>
  <c r="C57" i="2" a="1"/>
  <c r="C57" i="2" s="1"/>
  <c r="C56" i="2" a="1"/>
  <c r="C56" i="2" s="1"/>
  <c r="C55" i="2" a="1"/>
  <c r="C55" i="2" s="1"/>
  <c r="C54" i="2" a="1"/>
  <c r="C54" i="2" s="1"/>
  <c r="C53" i="2" a="1"/>
  <c r="C53" i="2" s="1"/>
  <c r="G53" i="2" s="1"/>
  <c r="C52" i="2" a="1"/>
  <c r="C52" i="2" s="1"/>
  <c r="C51" i="2" a="1"/>
  <c r="C51" i="2" s="1"/>
  <c r="G51" i="2" s="1"/>
  <c r="C50" i="2" a="1"/>
  <c r="C50" i="2" s="1"/>
  <c r="E39" i="2"/>
  <c r="E40" i="2"/>
  <c r="E41" i="2"/>
  <c r="E42" i="2"/>
  <c r="E43" i="2"/>
  <c r="E44" i="2"/>
  <c r="E45" i="2"/>
  <c r="E46" i="2"/>
  <c r="E47" i="2"/>
  <c r="E48" i="2"/>
  <c r="E49" i="2"/>
  <c r="E38" i="2"/>
  <c r="D38" i="2" a="1"/>
  <c r="D38" i="2" s="1"/>
  <c r="H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C49" i="2" a="1"/>
  <c r="C49" i="2" s="1"/>
  <c r="C48" i="2" a="1"/>
  <c r="C48" i="2" s="1"/>
  <c r="C47" i="2" a="1"/>
  <c r="C47" i="2" s="1"/>
  <c r="C46" i="2" a="1"/>
  <c r="C46" i="2" s="1"/>
  <c r="C45" i="2" a="1"/>
  <c r="C45" i="2" s="1"/>
  <c r="C44" i="2" a="1"/>
  <c r="C44" i="2" s="1"/>
  <c r="C43" i="2" a="1"/>
  <c r="C43" i="2" s="1"/>
  <c r="C42" i="2" a="1"/>
  <c r="C42" i="2" s="1"/>
  <c r="C41" i="2" a="1"/>
  <c r="C41" i="2" s="1"/>
  <c r="G41" i="2" s="1"/>
  <c r="C40" i="2" a="1"/>
  <c r="C40" i="2" s="1"/>
  <c r="G40" i="2" s="1"/>
  <c r="C39" i="2" a="1"/>
  <c r="C39" i="2" s="1"/>
  <c r="G39" i="2" s="1"/>
  <c r="C38" i="2" a="1"/>
  <c r="C38" i="2" s="1"/>
  <c r="E27" i="2"/>
  <c r="E28" i="2"/>
  <c r="E29" i="2"/>
  <c r="E30" i="2"/>
  <c r="E31" i="2"/>
  <c r="E32" i="2"/>
  <c r="E33" i="2"/>
  <c r="E34" i="2"/>
  <c r="E35" i="2"/>
  <c r="E36" i="2"/>
  <c r="E37" i="2"/>
  <c r="E26" i="2"/>
  <c r="D26" i="2" a="1"/>
  <c r="D26" i="2" s="1"/>
  <c r="H26" i="2" s="1"/>
  <c r="D27" i="2" a="1"/>
  <c r="D27" i="2" s="1"/>
  <c r="D28" i="2" a="1"/>
  <c r="D28" i="2" s="1"/>
  <c r="H28" i="2" s="1"/>
  <c r="D29" i="2" a="1"/>
  <c r="D29" i="2"/>
  <c r="D30" i="2" a="1"/>
  <c r="D30" i="2" s="1"/>
  <c r="D31" i="2" a="1"/>
  <c r="D31" i="2" s="1"/>
  <c r="D32" i="2" a="1"/>
  <c r="D32" i="2" s="1"/>
  <c r="D33" i="2" a="1"/>
  <c r="D33" i="2" s="1"/>
  <c r="D34" i="2" a="1"/>
  <c r="D34" i="2" s="1"/>
  <c r="D35" i="2" a="1"/>
  <c r="D35" i="2" s="1"/>
  <c r="D36" i="2" a="1"/>
  <c r="D36" i="2"/>
  <c r="D37" i="2" a="1"/>
  <c r="D37" i="2" s="1"/>
  <c r="C27" i="2" a="1"/>
  <c r="C27" i="2" s="1"/>
  <c r="C26" i="2" a="1"/>
  <c r="C26" i="2" s="1"/>
  <c r="C37" i="2" a="1"/>
  <c r="C37" i="2" s="1"/>
  <c r="C36" i="2" a="1"/>
  <c r="C36" i="2" s="1"/>
  <c r="C35" i="2" a="1"/>
  <c r="C35" i="2" s="1"/>
  <c r="C34" i="2" a="1"/>
  <c r="C34" i="2" s="1"/>
  <c r="C33" i="2" a="1"/>
  <c r="C33" i="2" s="1"/>
  <c r="C32" i="2" a="1"/>
  <c r="C32" i="2" s="1"/>
  <c r="C31" i="2" a="1"/>
  <c r="C31" i="2" s="1"/>
  <c r="C30" i="2" a="1"/>
  <c r="C30" i="2" s="1"/>
  <c r="G30" i="2" s="1"/>
  <c r="C29" i="2" a="1"/>
  <c r="C29" i="2" s="1"/>
  <c r="G29" i="2" s="1"/>
  <c r="C28" i="2" a="1"/>
  <c r="C28" i="2" s="1"/>
  <c r="G28" i="2" s="1"/>
  <c r="D25" i="2" a="1"/>
  <c r="D25" i="2"/>
  <c r="C25" i="2" a="1"/>
  <c r="C25" i="2" s="1"/>
  <c r="D24" i="2" a="1"/>
  <c r="D24" i="2" s="1"/>
  <c r="C24" i="2" a="1"/>
  <c r="C24" i="2" s="1"/>
  <c r="D23" i="2" a="1"/>
  <c r="D23" i="2"/>
  <c r="C23" i="2" a="1"/>
  <c r="C23" i="2"/>
  <c r="D22" i="2" a="1"/>
  <c r="D22" i="2" s="1"/>
  <c r="C22" i="2" a="1"/>
  <c r="C22" i="2"/>
  <c r="D21" i="2" a="1"/>
  <c r="D21" i="2" s="1"/>
  <c r="C21" i="2" a="1"/>
  <c r="C21" i="2"/>
  <c r="E20" i="2"/>
  <c r="E21" i="2"/>
  <c r="E22" i="2"/>
  <c r="G22" i="2" s="1"/>
  <c r="E23" i="2"/>
  <c r="E24" i="2"/>
  <c r="E25" i="2"/>
  <c r="D20" i="2" a="1"/>
  <c r="D20" i="2" s="1"/>
  <c r="C20" i="2" a="1"/>
  <c r="C20" i="2" s="1"/>
  <c r="D19" i="2" a="1"/>
  <c r="D19" i="2"/>
  <c r="C19" i="2" a="1"/>
  <c r="C19" i="2" s="1"/>
  <c r="D18" i="2" a="1"/>
  <c r="D18" i="2"/>
  <c r="C18" i="2" a="1"/>
  <c r="C18" i="2" s="1"/>
  <c r="D17" i="2" a="1"/>
  <c r="D17" i="2"/>
  <c r="C17" i="2" a="1"/>
  <c r="C17" i="2"/>
  <c r="D14" i="2" a="1"/>
  <c r="D14" i="2" s="1"/>
  <c r="D15" i="2" a="1"/>
  <c r="D15" i="2" s="1"/>
  <c r="D16" i="2" a="1"/>
  <c r="D16" i="2"/>
  <c r="C16" i="2" a="1"/>
  <c r="C16" i="2"/>
  <c r="C15" i="2" a="1"/>
  <c r="C15" i="2" s="1"/>
  <c r="C14" i="2" a="1"/>
  <c r="C14" i="2" s="1"/>
  <c r="E16" i="2"/>
  <c r="E15" i="2"/>
  <c r="E17" i="2"/>
  <c r="E18" i="2"/>
  <c r="E19" i="2"/>
  <c r="E14" i="2"/>
  <c r="E13" i="2"/>
  <c r="G13" i="2" s="1"/>
  <c r="E8" i="2"/>
  <c r="G8" i="2" s="1"/>
  <c r="E9" i="2"/>
  <c r="H9" i="2" s="1"/>
  <c r="E10" i="2"/>
  <c r="G10" i="2" s="1"/>
  <c r="E11" i="2"/>
  <c r="G11" i="2" s="1"/>
  <c r="E12" i="2"/>
  <c r="G12" i="2" s="1"/>
  <c r="E4" i="2"/>
  <c r="G4" i="2" s="1"/>
  <c r="E5" i="2"/>
  <c r="G5" i="2" s="1"/>
  <c r="E6" i="2"/>
  <c r="G6" i="2" s="1"/>
  <c r="E7" i="2"/>
  <c r="G7" i="2" s="1"/>
  <c r="E3" i="2"/>
  <c r="G3" i="2" s="1"/>
  <c r="E2" i="2"/>
  <c r="H2" i="2" s="1"/>
  <c r="J28" i="2" l="1"/>
  <c r="J11" i="2"/>
  <c r="J10" i="2"/>
  <c r="J53" i="2"/>
  <c r="G36" i="2"/>
  <c r="G37" i="2"/>
  <c r="G44" i="2"/>
  <c r="J44" i="2" s="1"/>
  <c r="G55" i="2"/>
  <c r="J55" i="2" s="1"/>
  <c r="H36" i="2"/>
  <c r="H54" i="2"/>
  <c r="G46" i="2"/>
  <c r="G47" i="2"/>
  <c r="H30" i="2"/>
  <c r="I30" i="2" s="1"/>
  <c r="H29" i="2"/>
  <c r="I29" i="2" s="1"/>
  <c r="H37" i="2"/>
  <c r="G45" i="2"/>
  <c r="H53" i="2"/>
  <c r="I53" i="2" s="1"/>
  <c r="G14" i="2"/>
  <c r="G48" i="2"/>
  <c r="I28" i="2"/>
  <c r="G35" i="2"/>
  <c r="G38" i="2"/>
  <c r="G20" i="2"/>
  <c r="H20" i="2"/>
  <c r="H25" i="2"/>
  <c r="G26" i="2"/>
  <c r="G59" i="2"/>
  <c r="G27" i="2"/>
  <c r="G42" i="2"/>
  <c r="G58" i="2"/>
  <c r="G23" i="2"/>
  <c r="H21" i="2"/>
  <c r="H49" i="2"/>
  <c r="H31" i="2"/>
  <c r="H47" i="2"/>
  <c r="H34" i="2"/>
  <c r="H33" i="2"/>
  <c r="H48" i="2"/>
  <c r="I48" i="2" s="1"/>
  <c r="I39" i="2"/>
  <c r="H27" i="2"/>
  <c r="H16" i="2"/>
  <c r="H35" i="2"/>
  <c r="G54" i="2"/>
  <c r="G49" i="2"/>
  <c r="H32" i="2"/>
  <c r="H46" i="2"/>
  <c r="H45" i="2"/>
  <c r="H14" i="2"/>
  <c r="I14" i="2" s="1"/>
  <c r="G43" i="2"/>
  <c r="G50" i="2"/>
  <c r="H23" i="2"/>
  <c r="H22" i="2"/>
  <c r="J22" i="2" s="1"/>
  <c r="G52" i="2"/>
  <c r="H61" i="2"/>
  <c r="H43" i="2"/>
  <c r="H42" i="2"/>
  <c r="H15" i="2"/>
  <c r="G24" i="2"/>
  <c r="H41" i="2"/>
  <c r="I41" i="2" s="1"/>
  <c r="H59" i="2"/>
  <c r="H55" i="2"/>
  <c r="H24" i="2"/>
  <c r="H40" i="2"/>
  <c r="J40" i="2" s="1"/>
  <c r="H58" i="2"/>
  <c r="G17" i="2"/>
  <c r="G25" i="2"/>
  <c r="H39" i="2"/>
  <c r="J39" i="2" s="1"/>
  <c r="H57" i="2"/>
  <c r="H56" i="2"/>
  <c r="H17" i="2"/>
  <c r="G18" i="2"/>
  <c r="H18" i="2"/>
  <c r="G31" i="2"/>
  <c r="H52" i="2"/>
  <c r="G19" i="2"/>
  <c r="G32" i="2"/>
  <c r="H51" i="2"/>
  <c r="I51" i="2" s="1"/>
  <c r="H19" i="2"/>
  <c r="G33" i="2"/>
  <c r="G34" i="2"/>
  <c r="H50" i="2"/>
  <c r="G21" i="2"/>
  <c r="G56" i="2"/>
  <c r="G57" i="2"/>
  <c r="H13" i="2"/>
  <c r="J13" i="2" s="1"/>
  <c r="G15" i="2"/>
  <c r="H12" i="2"/>
  <c r="I12" i="2" s="1"/>
  <c r="G16" i="2"/>
  <c r="G60" i="2"/>
  <c r="H44" i="2"/>
  <c r="G61" i="2"/>
  <c r="H11" i="2"/>
  <c r="I11" i="2" s="1"/>
  <c r="G9" i="2"/>
  <c r="J9" i="2" s="1"/>
  <c r="H10" i="2"/>
  <c r="I10" i="2" s="1"/>
  <c r="H8" i="2"/>
  <c r="I8" i="2" s="1"/>
  <c r="G2" i="2"/>
  <c r="H7" i="2"/>
  <c r="J7" i="2" s="1"/>
  <c r="H6" i="2"/>
  <c r="I6" i="2" s="1"/>
  <c r="H5" i="2"/>
  <c r="I5" i="2" s="1"/>
  <c r="H3" i="2"/>
  <c r="I3" i="2" s="1"/>
  <c r="H4" i="2"/>
  <c r="I4" i="2" s="1"/>
  <c r="I36" i="2" l="1"/>
  <c r="J51" i="2"/>
  <c r="J16" i="2"/>
  <c r="J52" i="2"/>
  <c r="J35" i="2"/>
  <c r="J4" i="2"/>
  <c r="J5" i="2"/>
  <c r="J6" i="2"/>
  <c r="J41" i="2"/>
  <c r="J15" i="2"/>
  <c r="I40" i="2"/>
  <c r="J57" i="2"/>
  <c r="J56" i="2"/>
  <c r="J21" i="2"/>
  <c r="J45" i="2"/>
  <c r="I37" i="2"/>
  <c r="I59" i="2"/>
  <c r="J59" i="2"/>
  <c r="I26" i="2"/>
  <c r="J26" i="2"/>
  <c r="J18" i="2"/>
  <c r="I47" i="2"/>
  <c r="J47" i="2"/>
  <c r="I46" i="2"/>
  <c r="J46" i="2"/>
  <c r="J17" i="2"/>
  <c r="I2" i="2"/>
  <c r="J2" i="2"/>
  <c r="I13" i="2"/>
  <c r="I55" i="2"/>
  <c r="I22" i="2"/>
  <c r="J37" i="2"/>
  <c r="I23" i="2"/>
  <c r="J23" i="2"/>
  <c r="J36" i="2"/>
  <c r="I61" i="2"/>
  <c r="J61" i="2"/>
  <c r="J58" i="2"/>
  <c r="I44" i="2"/>
  <c r="J24" i="2"/>
  <c r="J42" i="2"/>
  <c r="J8" i="2"/>
  <c r="I60" i="2"/>
  <c r="J60" i="2"/>
  <c r="J27" i="2"/>
  <c r="I50" i="2"/>
  <c r="J50" i="2"/>
  <c r="J43" i="2"/>
  <c r="I34" i="2"/>
  <c r="J34" i="2"/>
  <c r="J30" i="2"/>
  <c r="J33" i="2"/>
  <c r="I45" i="2"/>
  <c r="J20" i="2"/>
  <c r="J29" i="2"/>
  <c r="I38" i="2"/>
  <c r="J38" i="2"/>
  <c r="J12" i="2"/>
  <c r="J32" i="2"/>
  <c r="I49" i="2"/>
  <c r="J49" i="2"/>
  <c r="J19" i="2"/>
  <c r="I54" i="2"/>
  <c r="J54" i="2"/>
  <c r="J48" i="2"/>
  <c r="I31" i="2"/>
  <c r="J31" i="2"/>
  <c r="J14" i="2"/>
  <c r="J3" i="2"/>
  <c r="I7" i="2"/>
  <c r="C71" i="2"/>
  <c r="I32" i="2"/>
  <c r="I19" i="2"/>
  <c r="I24" i="2"/>
  <c r="I57" i="2"/>
  <c r="I58" i="2"/>
  <c r="I56" i="2"/>
  <c r="B71" i="2"/>
  <c r="B67" i="2"/>
  <c r="I16" i="2"/>
  <c r="I15" i="2"/>
  <c r="I52" i="2"/>
  <c r="I21" i="2"/>
  <c r="I42" i="2"/>
  <c r="I43" i="2"/>
  <c r="I27" i="2"/>
  <c r="I33" i="2"/>
  <c r="I18" i="2"/>
  <c r="I20" i="2"/>
  <c r="I35" i="2"/>
  <c r="B66" i="2"/>
  <c r="I17" i="2"/>
  <c r="C70" i="2"/>
  <c r="B69" i="2"/>
  <c r="I9" i="2"/>
  <c r="B68" i="2"/>
  <c r="C69" i="2"/>
  <c r="B70" i="2"/>
  <c r="C67" i="2"/>
  <c r="C66" i="2"/>
  <c r="C6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<sst xmlns="http://schemas.openxmlformats.org/spreadsheetml/2006/main" count="1558" uniqueCount="308">
  <si>
    <t>Q1_1</t>
  </si>
  <si>
    <t>Q1_2</t>
  </si>
  <si>
    <t>Q1_3</t>
  </si>
  <si>
    <t>Q2</t>
  </si>
  <si>
    <t>Q3</t>
  </si>
  <si>
    <t>Please answer the following to help us assess your musical experience. - I engaged in regular, daily practice of a musical instrument (including voice) for 0 / 1 / 2 / 3 / 4-5 / 6-9 / 10 or more years</t>
  </si>
  <si>
    <t>Please answer the following to help us assess your musical experience. - I have had formal training in music theory for 0 / 1 / 2 / 3 / 4-5 / 6-9 / 10 or more years</t>
  </si>
  <si>
    <t>Please answer the following to help us assess your musical experience. - I have had 0 / 1 / 2 / 3 / 4-5 / 6-9 / 10 or more years of formal training on a musical instrument (including voice) during my lifetime</t>
  </si>
  <si>
    <t>What is your favourite music genre? You can select multiple.</t>
  </si>
  <si>
    <t>Are you a music industry professional? You can select multiple.</t>
  </si>
  <si>
    <t>Q1</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</si>
  <si>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</si>
  <si>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</si>
  <si>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</si>
  <si>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</si>
  <si>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</si>
  <si>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</si>
  <si>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</si>
  <si>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</si>
  <si>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</si>
  <si>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</si>
  <si>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</si>
  <si>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</si>
  <si>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</si>
  <si>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</si>
  <si>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</si>
  <si>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</si>
  <si>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</si>
  <si>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</si>
  <si>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</si>
  <si>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</si>
  <si>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</si>
  <si>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</si>
  <si>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</si>
  <si>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</si>
  <si>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</si>
  <si>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</si>
  <si>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</si>
  <si>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</si>
  <si>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</si>
  <si>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</si>
  <si>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</si>
  <si>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</si>
  <si>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</si>
  <si>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</si>
  <si>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</si>
  <si>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</si>
  <si>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</si>
  <si>
    <t>Comment: Please describe any aspects that contributed to the smoothness or roughness of the modulation, and if it feels unnatural or artificial, explain what factors contribute to this impression.</t>
  </si>
  <si>
    <t>Comparatively, between generated music example 1, 2, 3, 4 and 5, which modulation sounded WORSE?</t>
  </si>
  <si>
    <t>4</t>
  </si>
  <si>
    <t xml:space="preserve">It doesn't feel unnatural </t>
  </si>
  <si>
    <t>3</t>
  </si>
  <si>
    <t>2</t>
  </si>
  <si>
    <t>Some composers can do something similar in pop songs maybe, but the stop is not contemplated in pop music anymore</t>
  </si>
  <si>
    <t>It doesn't feel natural because of the same thing as before.</t>
  </si>
  <si>
    <t>1</t>
  </si>
  <si>
    <t xml:space="preserve">The modulation feels very very bad and not natural, no composers would have done it </t>
  </si>
  <si>
    <t>It is not natural at all, no composers would have done it</t>
  </si>
  <si>
    <t>Music Example 4</t>
  </si>
  <si>
    <t>The first part is cool, it's the very last chords that must be revised</t>
  </si>
  <si>
    <t>Not bad at all</t>
  </si>
  <si>
    <t>It could be very nice with little adjustments</t>
  </si>
  <si>
    <t>5</t>
  </si>
  <si>
    <t/>
  </si>
  <si>
    <t>Not very likely, maybe a composer with not so much experience</t>
  </si>
  <si>
    <t>Nice</t>
  </si>
  <si>
    <t>Music Example 1</t>
  </si>
  <si>
    <t>No composers would do this</t>
  </si>
  <si>
    <t>the modulation has not the same character of the music before the modulation. in my opinion it is too fast and chaotic and even if it obviously respects the rules of harmony of the modulation it is too dynamic when listening and not coherent with what we heard before. it is also too fast. I would appreciate more a gradual modulation with more attention to the harmonic degrees that the modulation passes through.</t>
  </si>
  <si>
    <t xml:space="preserve">Too fast and without passages needed but the break it’s interesting. Similar to pop music. </t>
  </si>
  <si>
    <t xml:space="preserve">Too repetitive. Similar to a pop “drop” modulation </t>
  </si>
  <si>
    <t xml:space="preserve">Incoherent </t>
  </si>
  <si>
    <t xml:space="preserve">Stilistically appropriate. </t>
  </si>
  <si>
    <t xml:space="preserve">Really interesting and not expected  </t>
  </si>
  <si>
    <t>Too fast. Too pop</t>
  </si>
  <si>
    <t>Too easy, just a scale. “Chiamata”</t>
  </si>
  <si>
    <t xml:space="preserve">Simply perfect </t>
  </si>
  <si>
    <t xml:space="preserve">A bit too much of “la la land” but with no coherence with the music before </t>
  </si>
  <si>
    <t xml:space="preserve">Simply pop </t>
  </si>
  <si>
    <t>Music Example 2</t>
  </si>
  <si>
    <t xml:space="preserve">Piacevole </t>
  </si>
  <si>
    <t>The modulation feels generally natural and harmonically coherent, contributing to an overall sense of continuity. However, it is less convincing from a rhythmic perspective: a sudden cascade of notes at the point of modulation introduces a sense of discontinuity, making the transition feel slightly forced.</t>
  </si>
  <si>
    <t>The modulation is abrupt, featuring a direct semitone shift without preparation, which results in a relatively rough transition. Nevertheless, this approach is widely used in pop music and aligns with common professional practices, even if it comes across as somewhat predictable.</t>
  </si>
  <si>
    <t>The modulation feels poorly executed and unconvincing. The repetitive bass pattern driving the transition creates a sense of monotony and lacks clear harmonic direction, resulting in a modulation that sounds forced and unnatural.</t>
  </si>
  <si>
    <t>The modulation feels somewhat arbitrary, lacking a clear sense of musical intention or direction.</t>
  </si>
  <si>
    <t>The modulation initially suggests a coherent transition, but loses direction just as it seems to be established, diverging into a less convincing harmonic progression. As a result, the transition feels inconsistent and not fully resolved.</t>
  </si>
  <si>
    <t>Music Example 3</t>
  </si>
  <si>
    <t>The modulation is introduced through an abrupt chromatic shift rather than a gradual transition, which makes it feel somewhat sudden. However, this type of modulation is commonly used in popular music and reflects a familiar stylistic approach, even if it lacks subtlety.</t>
  </si>
  <si>
    <t>The modulation is smooth and well integrated, with a clear sense of tonal continuity between the two keys. The transition feels natural and musically convincing, reflecting a professional and stylistically appropriate approach.</t>
  </si>
  <si>
    <t>The modulation is generally smooth and tonally coherent, but a noticeable leap makes the transition less natural and less musically convincing. As a result, it feels somewhat less refined from a professional perspective.</t>
  </si>
  <si>
    <t>The modulation is smooth, coherent, and musically convincing, with a clear sense of control and professional execution.</t>
  </si>
  <si>
    <t>The modulation suffers from significant rhythmic and melodic discontinuities, which break the flow and undermine the transition. As a result, it feels abrupt, poorly integrated, and not musically convincing.</t>
  </si>
  <si>
    <t>The modulation is straightforward and effective, maintaining good tonal coherence throughout. Although relatively simple, it is well executed and reflects a solid, professional approach.</t>
  </si>
  <si>
    <t>The modulation is relatively smooth and maintains a sense of tonal continuity, resulting in a generally coherent transition. However, the approach feels somewhat unconventional and lacks the refinement typically associated with professional compositional practices, making it less convincing from a stylistic standpoint.</t>
  </si>
  <si>
    <t>10 or more</t>
  </si>
  <si>
    <t>Classical,Jazz</t>
  </si>
  <si>
    <t>Musician,Composer,Music Producer,MIR Researcher</t>
  </si>
  <si>
    <t>Classical,Country,Folk,Rock/Metal,Other</t>
  </si>
  <si>
    <t>Musician</t>
  </si>
  <si>
    <t>Classical,Pop,Other</t>
  </si>
  <si>
    <t>Musician,Composer</t>
  </si>
  <si>
    <t>Jazz,Pop</t>
  </si>
  <si>
    <t>Example</t>
  </si>
  <si>
    <t>Smoothness and Tonal Coherence</t>
  </si>
  <si>
    <t>Authenticity to Professional Composition</t>
  </si>
  <si>
    <t>Type</t>
  </si>
  <si>
    <t>Human</t>
  </si>
  <si>
    <t>Normal</t>
  </si>
  <si>
    <t>Chords</t>
  </si>
  <si>
    <t>Bad</t>
  </si>
  <si>
    <t>LLM</t>
  </si>
  <si>
    <t>AMT</t>
  </si>
  <si>
    <t>NA</t>
  </si>
  <si>
    <t>Classical,Country,Electronic,Pop</t>
  </si>
  <si>
    <t>MIR Researcher</t>
  </si>
  <si>
    <t>The modulation has a mixed effect: it is somewhat smooth in sound, but not especially organic in tonal logic. The direct move from E minor to F minor is abrupt because there is no clear pivot chord or conventional preparation. Still, it avoids sounding completely awkward because the chromatic semitone shift between the two tonic triads creates a certain voice-leading coherence, and the iv–V–i in F minor confirms the new key quickly. It can feel a little artificial because the modulation seems imposed from outside rather than grown naturally out of the previous harmonic context.</t>
  </si>
  <si>
    <t>The modulation sounds technically smooth because the progression from E minor → G major → G minor (via V7) → E-flat major → A-flat major → F minor (via V7) is handled through traditional tonal syntax, with common chords and dominant-function harmony helping each transition. This makes the local voice-leading and harmonic logic feel convincing. At the same time, the overall sequence can feel somewhat artificial or heavy because the music keeps moving through multiple tonal regions instead of arriving more directly. In that sense, the roughness is not caused by faulty harmonic writing, but by the sheer number of modulations, which can make the passage seem unnecessarily elaborate.</t>
  </si>
  <si>
    <t>The modulation feels unnatural because it is suggested mainly through melody after a single jazz-like chord, without enough harmonic preparation or confirmation. Around 20:30, the new key is not convincingly established, so the passage sounds tonally ambiguous and somewhat forced rather than like a fully realized modulation.</t>
  </si>
  <si>
    <t>The modulation feels very abrupt because it moves too quickly into V7 of F minor without adequate preparation. As a result, the shift sounds forced and unnatural rather than smoothly connected.</t>
  </si>
  <si>
    <t>The beginning of the 20:30 passage is fairly successful and shows a good sense of phrase structure. However, the modulation does not unfold naturally within the limited 10-second span: it seems to begin a smoother transition, but then shifts too quickly before that process is fully developed. As a result, the latter part of the connection feels rushed and awkward.</t>
  </si>
  <si>
    <t>The passage shows a good sense of phrasing, and the opening connection is excellent. However, the ending feels awkward, and the modulation is not convincingly established by the close.</t>
  </si>
  <si>
    <t>This is a difficult task, because even after 20:30 the target key of C major is not clearly established through a V–I motion. As a result, there appears to be limited opportunity within the passage to produce a fully convincing modulation.</t>
  </si>
  <si>
    <t>Because A major and C major share no direct common triad, a traditional pivot-chord modulation is essentially impossible here. Given that constraint, the modulation does sound somewhat nontraditional and forced, but the rhythm and phrase shaping are excellent. As a result, even if it is not harmonically ideal, it still feels like a plausible solution that a professional might have produced.</t>
  </si>
  <si>
    <t xml:space="preserve">Not as natural as Example 3, but it somehow understands the sense of phrasing and strong beat. </t>
  </si>
  <si>
    <t>The later move through A minor, the relative minor of C major, is a good idea. However, the earlier part of the transition feels completely forced, so the modulation remains uneven overall.</t>
  </si>
  <si>
    <t>Given that a traditional pivot-chord modulation is not really possible here and there is too little space for a longer intermediate process, this feels like a plausible professional solution: it handles rhythm and phrasing extremely well, closes off the A major section decisively, and then uses a direct modulation to create an effective change of atmosphere, even if the result is not traditional in harmonic terms.</t>
  </si>
  <si>
    <t>This was a difficult piece to score. The modulation itself is not very natural and is handled rather directly. Although there is some attempt to smooth the connection through the melody and the continuity of the left and right hand parts, the result feels distinctly non-human, as if the two hands are being switched over one by one rather than shaped as a unified musical gesture. An interesting technique though.</t>
  </si>
  <si>
    <t>4-5</t>
  </si>
  <si>
    <t>Classical,Folk,Rock/Metal</t>
  </si>
  <si>
    <t>Classical,Jazz,Blues,Folk,Pop</t>
  </si>
  <si>
    <t xml:space="preserve">The internal voice going from the note B to C is alone, not supported by a chord. This factor makes the modulation abrupt. However, also in the theory of harmony abrupt modulations are provided; they sound immediate and have a strong emotional impact. In addition to this, modulating directly a half tone higher - like happens in the provided example - is very common in songs (especially pop music). </t>
  </si>
  <si>
    <t>I personally find this modulation artificial. The G minor chord is too far from E minor and its reappearance (G minor, Eb, G minor) doesn’t make the transition seem more gradual.</t>
  </si>
  <si>
    <t>This modulation is rough because it uses Bb minor as the main step to go through F minor, but is way too far from E minor.</t>
  </si>
  <si>
    <t>This modulation seems unclear and musically weak. The bass line steps from G directly to F (creating II - I, or II - V46 - I), it’s to say, there isn’t a defined cadence.</t>
  </si>
  <si>
    <t>This modulation is abrupt, but, like the first example, it has a certain artistic value.</t>
  </si>
  <si>
    <t>This modulation seems artificial and does’t have an artistic value.</t>
  </si>
  <si>
    <t>There are so many aspects of ambiguity that they can’t be described properly.</t>
  </si>
  <si>
    <t>This is a very good example of abrupt modulation and it is very artistical.</t>
  </si>
  <si>
    <t>This modulation seems quite good: using F as the step chord (VI lowered of A) has a fascinating effect.</t>
  </si>
  <si>
    <t>A very good, strong, and efficient example of abrupt modulation. Very nice.</t>
  </si>
  <si>
    <t>Musician,Composer,Sound Engineer,Music Producer,MIR Researcher</t>
  </si>
  <si>
    <t>Great modulation, very simple, but effective.</t>
  </si>
  <si>
    <t>Great and simple</t>
  </si>
  <si>
    <t>The modulation is very bad in form of cadenza, but it is out of the style of the rest of the song</t>
  </si>
  <si>
    <t>The modulation was not that bad, but the pivot chord sounded like a cluster</t>
  </si>
  <si>
    <t>The modulation was great, but it sounded a little bit out of style the theme during the modulation.</t>
  </si>
  <si>
    <t xml:space="preserve">It wasn't very good, the last chord was out of stile </t>
  </si>
  <si>
    <t>The modulation was very simple, but a little bit out of key with a chromatic note that doesn't feel good.</t>
  </si>
  <si>
    <t>Smooth</t>
  </si>
  <si>
    <t>The pivot chord wasn't great.</t>
  </si>
  <si>
    <t>It sounded very weird full of notes that are out of key.</t>
  </si>
  <si>
    <t>Not bad modulation</t>
  </si>
  <si>
    <t>The last notes of the modulation were very bad</t>
  </si>
  <si>
    <t>6-9</t>
  </si>
  <si>
    <t>Musician,Composer,MIR Researcher</t>
  </si>
  <si>
    <t>The minor fifth degree in the Em cadence just before the modulation helped make it smoother. It feels quite impressionable, due partly to the gap in notes just before the modulation - but this is a standard technique.</t>
  </si>
  <si>
    <t>D is the dominant of Gm which helps make it much smoother.</t>
  </si>
  <si>
    <t>Despite the semitone relations in many voices it still feels awkward and rough. I have composed similar modulations, but have regreted it haha</t>
  </si>
  <si>
    <t>This one is interesting, it feels like falling but smoothly.</t>
  </si>
  <si>
    <t>Very rough, no obvious connection.</t>
  </si>
  <si>
    <t>Super unnatural, seems unreasonable.</t>
  </si>
  <si>
    <t>The c sharp clashes with the c natural, plus it feels like we're finally landing of F instead of C. Pretty bad.</t>
  </si>
  <si>
    <t>The Beatles progression - pretty nice, though not smooth nor rough. Something in between.</t>
  </si>
  <si>
    <t>I don't remember ever hearing this in pop music. Just anticipating the new chord doesn't help too much with making it smoother - though it is better than changing chords right at the new bar.</t>
  </si>
  <si>
    <t>Smooth because it just uses relative minor. But quite boring, not landing on C until much later.</t>
  </si>
  <si>
    <t>Pretty rough, don't recall hearing it often at all.</t>
  </si>
  <si>
    <t>The prolonged E dominant helped make it a bit smoother, but in the end it's just a parallel minor modulation - not particularly smooth.</t>
  </si>
  <si>
    <t>Classical,Pop</t>
  </si>
  <si>
    <t>I feel it has an unnatural modulation. I feel it like a little bit strange and it has an unexpected effect.</t>
  </si>
  <si>
    <t>In this example the modulation is prepared, and less abrupt.</t>
  </si>
  <si>
    <t>It feels very artificial.</t>
  </si>
  <si>
    <t>There's a better connection.</t>
  </si>
  <si>
    <t>This modulation is well connected, prepared. I don't feel like there is an abrupt passage between the first and the second part of the track.</t>
  </si>
  <si>
    <t>It feels like the modulation is fast and not well prepared</t>
  </si>
  <si>
    <t>I don't feel the modulation as abrupt and it's very natural.</t>
  </si>
  <si>
    <t xml:space="preserve">This modulation isn't very natural. </t>
  </si>
  <si>
    <t>This modulation is very natural. The connection between the first and the second part is excellent and stylistically coherent.</t>
  </si>
  <si>
    <t>Although this kind of modulation is less natural and unexpected, I really like it and I don't feel it as strange or abrupt. It's very pleasing, like a surprise.</t>
  </si>
  <si>
    <t>This kind of modulation it's a little too quick, not prepared at all, but coherent in style.</t>
  </si>
  <si>
    <t>It's a smooth and elegant modulation. I feel it as very natural and appropriate in style.</t>
  </si>
  <si>
    <t>Classical,Jazz,Other</t>
  </si>
  <si>
    <t>there's a single pivot chord, which could be okay, but it also lasts too little and there's no interpretation change (e.g. a ritartando) to make it feels less jarring</t>
  </si>
  <si>
    <t>D to Cm is not the smoothest thing in the world, but the voice leading made it work (and the thinning of the D)</t>
  </si>
  <si>
    <t>A to Fm is not common, and the voice leading didnt help it this time</t>
  </si>
  <si>
    <t>Fm to Ab is a bit unexpected initially, but I seem to have gotten used to it after a couple of listens. It feels a bit smoother that it's not just a pivot chord, like other examples</t>
  </si>
  <si>
    <t>I'm not sure I've heard this one before in this type of music - it just feels a bit jarring without voice leading</t>
  </si>
  <si>
    <t>Music Example 5</t>
  </si>
  <si>
    <t>Isn't this example 4? I rated it slightly lower because without dynamics you can't sell the modulation</t>
  </si>
  <si>
    <t>raw dogged</t>
  </si>
  <si>
    <t>rushed</t>
  </si>
  <si>
    <t>maybe there was something there, but the messines of the melody and chord spread confused me</t>
  </si>
  <si>
    <t>lol</t>
  </si>
  <si>
    <t>There is a very poor chord</t>
  </si>
  <si>
    <t>It isn't bad, but one chord in the final part was very out of key</t>
  </si>
  <si>
    <t>Very smooth</t>
  </si>
  <si>
    <t>Good, but not smooth</t>
  </si>
  <si>
    <t>Very easy and common, also smooth</t>
  </si>
  <si>
    <t xml:space="preserve">Not bad at all, very smooth </t>
  </si>
  <si>
    <t xml:space="preserve">The last chord in the modulation wasn't in key at all </t>
  </si>
  <si>
    <t>Very nice modulation with a great evolution</t>
  </si>
  <si>
    <t>Cool, but the melody was repetitive in the modulation part</t>
  </si>
  <si>
    <t>The generation added some sliding and some notes that are not well positioned here.</t>
  </si>
  <si>
    <t>There was a C major that seems out of tonality</t>
  </si>
  <si>
    <t>Electronic</t>
  </si>
  <si>
    <t>Modulation chord changes make harmonic sense.</t>
  </si>
  <si>
    <t>Classical,Jazz,Country,Blues</t>
  </si>
  <si>
    <t>Musician,MIR Researcher</t>
  </si>
  <si>
    <t>Composer,MIR Researcher</t>
  </si>
  <si>
    <t>A little bit sudden</t>
  </si>
  <si>
    <t>Sounds a bit random</t>
  </si>
  <si>
    <t>There seems no transition or leading notes to D Major, then all of a sudden 0:31 into D Major. Texture seems ok</t>
  </si>
  <si>
    <t>Classical,Jazz,Electronic,Pop</t>
  </si>
  <si>
    <t>Very nice modulation</t>
  </si>
  <si>
    <t>The modulation itself seemed good untile it reached a strange modulation point with a chord out of tonality</t>
  </si>
  <si>
    <t>Very nice modulation with a good pivot chord</t>
  </si>
  <si>
    <t>Very nice!</t>
  </si>
  <si>
    <t xml:space="preserve">Not very good modulation with an iterative note </t>
  </si>
  <si>
    <t>Nice and coherent</t>
  </si>
  <si>
    <t>Linear, but very simple</t>
  </si>
  <si>
    <t xml:space="preserve">Not bad! </t>
  </si>
  <si>
    <t>This modulation is very very bad</t>
  </si>
  <si>
    <t>Smooth and simple</t>
  </si>
  <si>
    <t>Jazz,Country,Folk,Pop</t>
  </si>
  <si>
    <t>I think it sounds a bit rough in the way it repeats the chordsi</t>
  </si>
  <si>
    <t>It's pretty straightforward but I I like this one better</t>
  </si>
  <si>
    <t>Classical,Jazz,Blues,Folk,R&amp;B,Pop</t>
  </si>
  <si>
    <t>0</t>
  </si>
  <si>
    <t>R&amp;B,Rock/Metal,Pop</t>
  </si>
  <si>
    <t>The key change is supported by a smooth chord transition.</t>
  </si>
  <si>
    <t>The chord transition during key change is mostly coherent but stylistically it doesnot fit in pop music.</t>
  </si>
  <si>
    <t>Musician,Composer,Sound Engineer</t>
  </si>
  <si>
    <t>The choice of chords is not right and not smooth</t>
  </si>
  <si>
    <t>not bad</t>
  </si>
  <si>
    <t xml:space="preserve">Not the best possible, it has some chords that are not well connected </t>
  </si>
  <si>
    <t>Something bad happened in the modulation with a part very different from the rest</t>
  </si>
  <si>
    <t>Not bad</t>
  </si>
  <si>
    <t>The change of tempo is not right and the notes are not very good</t>
  </si>
  <si>
    <t>Not very good modulation</t>
  </si>
  <si>
    <t>The tempo and melody are not bad, but the choice of the last chords are not very good</t>
  </si>
  <si>
    <t xml:space="preserve">Good </t>
  </si>
  <si>
    <t>Too much sudden</t>
  </si>
  <si>
    <t>Cool</t>
  </si>
  <si>
    <t>Worst_Count</t>
  </si>
  <si>
    <t>Participants</t>
  </si>
  <si>
    <t>LLM Chords</t>
  </si>
  <si>
    <t>chord_boundary_dist_s1_s2</t>
  </si>
  <si>
    <t>chord_boundary_dist_s2_s3</t>
  </si>
  <si>
    <t>cloud_boundary_dist_s1_s2</t>
  </si>
  <si>
    <t>cloud_boundary_dist_s2_s3</t>
  </si>
  <si>
    <t>semitone_clashes</t>
  </si>
  <si>
    <t>nondiatonic_rate</t>
  </si>
  <si>
    <t>chord_transition_rate</t>
  </si>
  <si>
    <t>harmonic_entropy</t>
  </si>
  <si>
    <t>cloud_momentum</t>
  </si>
  <si>
    <t>chord_momentum</t>
  </si>
  <si>
    <t>progression_likelihood</t>
  </si>
  <si>
    <t>voice_leading_smoothness</t>
  </si>
  <si>
    <t>has_pivot_chord</t>
  </si>
  <si>
    <t>harmonic_dist_s1_s2</t>
  </si>
  <si>
    <t>harmonic_dist_s2_s3</t>
  </si>
  <si>
    <t>groove_wass_s1_s2</t>
  </si>
  <si>
    <t>groove_wass_s2_s3</t>
  </si>
  <si>
    <t>embedding_sim_s1_s2</t>
  </si>
  <si>
    <t>embedding_sim_s2_s3</t>
  </si>
  <si>
    <t>embedding_sim_s1_s3</t>
  </si>
  <si>
    <t>Avg Smooth</t>
  </si>
  <si>
    <t>Avg Auth</t>
  </si>
  <si>
    <t>Target_Bad</t>
  </si>
  <si>
    <t>Random</t>
  </si>
  <si>
    <t>Jazz, Rock/Metal</t>
  </si>
  <si>
    <t>One thing that stood out a bit (seemed a bit unnatural) is that it was hard to tell exactly when the modulation occurred. At least in classical music, modulation should typically be easy to hear.</t>
  </si>
  <si>
    <t>Sounded like there was a pause that signaled the modulation. I think this sounded a bit more natural than the last example, but the pause may have been a bit too long/obvious.</t>
  </si>
  <si>
    <t>Sounded quite strange with a repeated note.</t>
  </si>
  <si>
    <t>Sounded quite dissonant and honestly full of "mistakes".</t>
  </si>
  <si>
    <t>Sounded a bit strange, but overall not too bad.</t>
  </si>
  <si>
    <t>Fairly smooth transition, but did not exactly sound very intentional.</t>
  </si>
  <si>
    <t>Overall, sounded pretty good.</t>
  </si>
  <si>
    <t>Modulation was quite smooth.</t>
  </si>
  <si>
    <t>Very good.</t>
  </si>
  <si>
    <t>Not very smooth transition.</t>
  </si>
  <si>
    <t>Sounded artistically pretty natural.</t>
  </si>
  <si>
    <t>Modulation sounded a bit strange, but not too unnatural.</t>
  </si>
  <si>
    <t>Smoothness</t>
  </si>
  <si>
    <t>Authenticity</t>
  </si>
  <si>
    <t>Target_Good</t>
  </si>
  <si>
    <t>Method</t>
  </si>
  <si>
    <t>Survey</t>
  </si>
  <si>
    <t>A</t>
  </si>
  <si>
    <t>B</t>
  </si>
  <si>
    <t>C</t>
  </si>
  <si>
    <t>D</t>
  </si>
  <si>
    <t>E</t>
  </si>
  <si>
    <t>Main</t>
  </si>
  <si>
    <t>Chord</t>
  </si>
  <si>
    <t>LLM Chord</t>
  </si>
  <si>
    <t>p-val</t>
  </si>
  <si>
    <t>This is example 1. The piece starts in the key of A major until 0:20. The target key is set to Bb major after 0:20 until the duration of the piece. The modulation window is set between 0:20-0:30 (plus or minus a few seconds).</t>
  </si>
  <si>
    <t>This is example 1. The piece starts in the key of F major until 0:20. The target key is set to Gb / F# major after 0:20 until the duration of the piece. The modulation window is set between 0:20-0:30 (plus or minus a few seconds).</t>
  </si>
  <si>
    <t>This is example 1. The piece starts in the key of E minor until 0:20. The target key is set to F minor after 0:20 until the duration of the piece. The modulation window is set between 0:20-0:30 (plus or minus a few seconds).</t>
  </si>
  <si>
    <t>Folder Number</t>
  </si>
  <si>
    <t>This is example 1. The piece starts in the key of A major until 0:20. The target key is set to C major after 0:20 until the duration of the piece. The modulation window is set between 0:20-0:30 (plus or minus a few seconds).</t>
  </si>
  <si>
    <t>This is example 1. The piece starts in the key of B minor until 0:20. The target key is set to C minor after 0:20 until the duration of the piece. The modulation window is set between 0:20-0:30 (plus or minus a few seconds).</t>
  </si>
  <si>
    <t>This is example 1. The piece starts in the key of Gb / F# major until 0:20. The target key is set to G major after 0:20 until the duration of the piece. The modulation window is set between 0:20-0:30 (plus or minus a few seconds).</t>
  </si>
  <si>
    <t>This is example 1. The piece starts in the key of G major until 0:20. The target key is set to Ab major after 0:20 until the duration of the piece. The modulation window is set between 0:20-0:30 (plus or minus a few seconds).</t>
  </si>
  <si>
    <t>This is example 1. The piece starts in the key of C major until 0:20. The target key is set to D major after 0:20 until the duration of the piece. The modulation window is set between 0:20-0:30 (plus or minus a few seconds).</t>
  </si>
  <si>
    <t>This is example 1. The piece starts in the key of Db major until 0:20. The target key is set to D major after 0:20 until the duration of the piece. The modulation window is set between 0:20-0:30 (plus or minus a few seconds).</t>
  </si>
  <si>
    <t>This is example 1. The piece starts in the key of B major until 0:20. The target key is set to C major after 0:20 until the duration of the piece. The modulation window is set between 0:20-0:30 (plus or minus a few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</si>
</sst>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49" fontId="0" fillId="0" borderId="0" xfId="0" applyNumberFormat="1" applyAlignment="1">
      <alignment wrapText="1"/>
    </xf>
    <xf numFmtId="49" fontId="0" fillId="0" borderId="0" xfId="0" applyNumberFormat="1"/>
    <xf numFmtId="2" fontId="0" fillId="0" borderId="0" xfId="0" applyNumberFormat="1" applyAlignment="1">
      <alignment wrapText="1"/>
    </xf>
    <xf numFmtId="0" fontId="0" fillId="0" borderId="0" xfId="0" applyAlignment="1">
      <alignment wrapText="1"/>
    </xf>
    <xf numFmtId="1" fontId="0" fillId="0" borderId="0" xfId="0" applyNumberFormat="1" applyAlignment="1">
      <alignment wrapText="1"/>
    </xf>
    <xf numFmtId="1" fontId="0" fillId="0" borderId="0" xfId="0" applyNumberFormat="1"/>
    <xf numFmtId="0" fontId="0" fillId="3" borderId="0" xfId="0" applyFill="1"/>
    <xf numFmtId="0" fontId="0" fillId="0" borderId="0" xfId="0" quotePrefix="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02EC13-9FC9-4BCC-9ECC-AC502CE0086C}" name="Table1" displayName="Table1" ref="A1:AD61" totalsRowShown="0">
  <autoFilter ref="A1:AD61" xr:uid="{4C02EC13-9FC9-4BCC-9ECC-AC502CE0086C}"/>
  <tableColumns count="30">
    <tableColumn id="1" xr3:uid="{D2FF4B54-F4DF-4A5B-BD05-5411A0A7A1AF}" name="Example"/>
    <tableColumn id="2" xr3:uid="{CD720784-B9B3-4028-ABC2-B8AC089928D9}" name="Type"/>
    <tableColumn id="3" xr3:uid="{B1D80606-417E-4619-B434-A23FC27199D3}" name="Smoothness and Tonal Coherence"/>
    <tableColumn id="4" xr3:uid="{482921CE-5311-401B-B63E-3B08BDC69D0B}" name="Authenticity to Professional Composition"/>
    <tableColumn id="5" xr3:uid="{014EBC9C-8CF4-4745-88D5-491DBE6A35B7}" name="Participants">
      <calculatedColumnFormula>COUNTA('Survey E'!$F$3:$F$100)</calculatedColumnFormula>
    </tableColumn>
    <tableColumn id="6" xr3:uid="{C0F504D8-CD6D-46F2-B87D-B846944E9E67}" name="Worst_Count"/>
    <tableColumn id="7" xr3:uid="{BB50AFEA-B09B-44A2-96EB-CC28EAEC4621}" name="Avg Smooth">
      <calculatedColumnFormula>C2/E2</calculatedColumnFormula>
    </tableColumn>
    <tableColumn id="8" xr3:uid="{B84BF74B-05F6-4F93-BAD0-430F32BDDE71}" name="Avg Auth">
      <calculatedColumnFormula>D2/E2</calculatedColumnFormula>
    </tableColumn>
    <tableColumn id="9" xr3:uid="{58C71870-71B9-4236-B8AF-D664015B6610}" name="Target_Bad">
      <calculatedColumnFormula>IF(AVERAGE(G2:H2)&lt;=2.75, 1, 0)</calculatedColumnFormula>
    </tableColumn>
    <tableColumn id="10" xr3:uid="{BA5F2817-CDE6-4012-80DB-4C22E85B5AED}" name="Target_Good">
      <calculatedColumnFormula>IF(AVERAGE(G2:H2)&gt;=3.25, 1, 0)</calculatedColumnFormula>
    </tableColumn>
    <tableColumn id="11" xr3:uid="{1DBB5F9B-9DB8-49B1-A490-81A5012820D7}" name="chord_boundary_dist_s1_s2"/>
    <tableColumn id="12" xr3:uid="{D1983A0C-0CE7-4BE7-9539-327B51D0DB62}" name="chord_boundary_dist_s2_s3"/>
    <tableColumn id="13" xr3:uid="{1F379369-D21C-4147-93CC-5CE06D069DDD}" name="cloud_boundary_dist_s1_s2"/>
    <tableColumn id="14" xr3:uid="{DE1FDA94-DD11-4C80-AC85-64E743184C54}" name="cloud_boundary_dist_s2_s3"/>
    <tableColumn id="15" xr3:uid="{BF5ADB12-2F7A-4C8F-A507-97FDFADE7A3A}" name="semitone_clashes"/>
    <tableColumn id="16" xr3:uid="{727BF96E-863F-44B0-8616-D1C1F02B2E74}" name="nondiatonic_rate"/>
    <tableColumn id="17" xr3:uid="{8D03C95B-DD3F-40AD-85EE-07213C1305C8}" name="chord_transition_rate"/>
    <tableColumn id="18" xr3:uid="{39787228-6976-4A29-95D4-A74AF029F1E1}" name="harmonic_entropy"/>
    <tableColumn id="19" xr3:uid="{89F39912-BFF4-4BE6-91BA-66AF5BEB9B8A}" name="cloud_momentum"/>
    <tableColumn id="20" xr3:uid="{42F321B5-7DE4-42E3-9132-D7D333DB4639}" name="chord_momentum"/>
    <tableColumn id="21" xr3:uid="{AB78DE0C-AE1F-4591-9E47-BF3A6E52C25E}" name="progression_likelihood"/>
    <tableColumn id="22" xr3:uid="{9D52AA3C-79A6-4EA2-B4C3-3E5B7D03A35A}" name="voice_leading_smoothness"/>
    <tableColumn id="23" xr3:uid="{AFD3FAFA-88F0-44A2-AC27-F3139DB7991E}" name="has_pivot_chord"/>
    <tableColumn id="24" xr3:uid="{3F4EB186-D2FF-44B0-A7C3-F5065899CAC4}" name="harmonic_dist_s1_s2"/>
    <tableColumn id="25" xr3:uid="{036DFB66-07C4-463C-83FA-6743B85910FC}" name="harmonic_dist_s2_s3"/>
    <tableColumn id="26" xr3:uid="{B258D2A5-7FF9-44DC-8298-E3C7E17EDD76}" name="groove_wass_s1_s2"/>
    <tableColumn id="27" xr3:uid="{B0C8E0C8-5D3F-47FE-96BA-D08D271FF4E9}" name="groove_wass_s2_s3"/>
    <tableColumn id="28" xr3:uid="{91D71EF2-194A-4EE4-8B5C-5126BF88BE89}" name="embedding_sim_s1_s2"/>
    <tableColumn id="29" xr3:uid="{EDAAAE41-C52B-4011-9BF9-C8E55C0993C8}" name="embedding_sim_s2_s3"/>
    <tableColumn id="30" xr3:uid="{1240A094-92E4-402C-A291-76A5EEF52891}" name="embedding_sim_s1_s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
  <sheetViews>
    <sheetView workbookViewId="0">
      <selection activeCell="H7" sqref="H7"/>
    </sheetView>
  </sheetViews>
  <sheetFormatPr defaultRowHeight="14.5" x14ac:dyDescent="0.35"/>
  <sheetData>
    <row r="1" spans="1:43" x14ac:dyDescent="0.35">
      <c r="A1" s="1" t="s">
        <v>0</v>
      </c>
      <c r="B1" s="1" t="s">
        <v>1</v>
      </c>
      <c r="C1" s="1" t="s">
        <v>2</v>
      </c>
      <c r="D1" s="1" t="s">
        <v>3</v>
      </c>
      <c r="E1" s="1" t="s">
        <v>4</v>
      </c>
      <c r="F1" s="1" t="s">
        <v>10</v>
      </c>
      <c r="G1" s="1" t="s">
        <v>3</v>
      </c>
      <c r="H1" s="1" t="s">
        <v>4</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row>
    <row r="2" spans="1:43" x14ac:dyDescent="0.35">
      <c r="A2" s="1" t="s">
        <v>5</v>
      </c>
      <c r="B2" s="1" t="s">
        <v>6</v>
      </c>
      <c r="C2" s="1" t="s">
        <v>7</v>
      </c>
      <c r="D2" s="1" t="s">
        <v>8</v>
      </c>
      <c r="E2" s="1" t="s">
        <v>9</v>
      </c>
      <c r="F2" s="1" t="s">
        <v>46</v>
      </c>
      <c r="G2" s="1" t="s">
        <v>47</v>
      </c>
      <c r="H2" s="1" t="s">
        <v>48</v>
      </c>
      <c r="I2" s="1" t="s">
        <v>46</v>
      </c>
      <c r="J2" s="1" t="s">
        <v>47</v>
      </c>
      <c r="K2" s="1" t="s">
        <v>48</v>
      </c>
      <c r="L2" s="1" t="s">
        <v>46</v>
      </c>
      <c r="M2" s="1" t="s">
        <v>47</v>
      </c>
      <c r="N2" s="1" t="s">
        <v>48</v>
      </c>
      <c r="O2" s="1" t="s">
        <v>46</v>
      </c>
      <c r="P2" s="1" t="s">
        <v>47</v>
      </c>
      <c r="Q2" s="1" t="s">
        <v>48</v>
      </c>
      <c r="R2" s="1" t="s">
        <v>46</v>
      </c>
      <c r="S2" s="1" t="s">
        <v>47</v>
      </c>
      <c r="T2" s="1" t="s">
        <v>48</v>
      </c>
      <c r="U2" s="1" t="s">
        <v>49</v>
      </c>
      <c r="V2" s="1" t="s">
        <v>46</v>
      </c>
      <c r="W2" s="1" t="s">
        <v>47</v>
      </c>
      <c r="X2" s="1" t="s">
        <v>48</v>
      </c>
      <c r="Y2" s="1" t="s">
        <v>46</v>
      </c>
      <c r="Z2" s="1" t="s">
        <v>47</v>
      </c>
      <c r="AA2" s="1" t="s">
        <v>48</v>
      </c>
      <c r="AB2" s="1" t="s">
        <v>46</v>
      </c>
      <c r="AC2" s="1" t="s">
        <v>47</v>
      </c>
      <c r="AD2" s="1" t="s">
        <v>48</v>
      </c>
      <c r="AE2" s="1" t="s">
        <v>46</v>
      </c>
      <c r="AF2" s="1" t="s">
        <v>47</v>
      </c>
      <c r="AG2" s="1" t="s">
        <v>48</v>
      </c>
      <c r="AH2" s="1" t="s">
        <v>46</v>
      </c>
      <c r="AI2" s="1" t="s">
        <v>47</v>
      </c>
      <c r="AJ2" s="1" t="s">
        <v>48</v>
      </c>
      <c r="AK2" s="1" t="s">
        <v>46</v>
      </c>
      <c r="AL2" s="1" t="s">
        <v>47</v>
      </c>
      <c r="AM2" s="1" t="s">
        <v>48</v>
      </c>
      <c r="AN2" s="1" t="s">
        <v>49</v>
      </c>
      <c r="AO2" s="1" t="s">
        <v>46</v>
      </c>
      <c r="AP2" s="1" t="s">
        <v>47</v>
      </c>
      <c r="AQ2" s="1" t="s">
        <v>48</v>
      </c>
    </row>
    <row r="3" spans="1:43" ht="232" x14ac:dyDescent="0.35">
      <c r="A3" s="2" t="s">
        <v>95</v>
      </c>
      <c r="B3" s="2" t="s">
        <v>95</v>
      </c>
      <c r="C3" s="2" t="s">
        <v>95</v>
      </c>
      <c r="D3" s="2" t="s">
        <v>96</v>
      </c>
      <c r="E3" s="2" t="s">
        <v>97</v>
      </c>
      <c r="F3" s="5">
        <v>4</v>
      </c>
      <c r="G3" s="5">
        <v>4</v>
      </c>
      <c r="H3" s="2" t="s">
        <v>51</v>
      </c>
      <c r="I3" s="6">
        <v>3</v>
      </c>
      <c r="J3" s="6">
        <v>2</v>
      </c>
      <c r="K3" s="2" t="s">
        <v>54</v>
      </c>
      <c r="L3" s="4" t="s">
        <v>53</v>
      </c>
      <c r="M3" s="4" t="s">
        <v>53</v>
      </c>
      <c r="N3" s="4" t="s">
        <v>55</v>
      </c>
      <c r="O3" s="4" t="s">
        <v>56</v>
      </c>
      <c r="P3" s="4" t="s">
        <v>56</v>
      </c>
      <c r="Q3" s="4" t="s">
        <v>57</v>
      </c>
      <c r="R3" s="4" t="s">
        <v>56</v>
      </c>
      <c r="S3" s="4" t="s">
        <v>56</v>
      </c>
      <c r="T3" s="4" t="s">
        <v>58</v>
      </c>
      <c r="U3" s="4" t="s">
        <v>59</v>
      </c>
      <c r="V3" s="4" t="s">
        <v>52</v>
      </c>
      <c r="W3" s="4" t="s">
        <v>52</v>
      </c>
      <c r="X3" s="4" t="s">
        <v>60</v>
      </c>
      <c r="Y3" s="4" t="s">
        <v>52</v>
      </c>
      <c r="Z3" s="4" t="s">
        <v>52</v>
      </c>
      <c r="AA3" s="4" t="s">
        <v>61</v>
      </c>
      <c r="AB3" s="4" t="s">
        <v>50</v>
      </c>
      <c r="AC3" s="4" t="s">
        <v>50</v>
      </c>
      <c r="AD3" s="4" t="s">
        <v>62</v>
      </c>
      <c r="AE3" s="4" t="s">
        <v>63</v>
      </c>
      <c r="AF3" s="4" t="s">
        <v>63</v>
      </c>
      <c r="AG3" s="4" t="s">
        <v>64</v>
      </c>
      <c r="AH3" s="4" t="s">
        <v>52</v>
      </c>
      <c r="AI3" s="4" t="s">
        <v>52</v>
      </c>
      <c r="AJ3" s="4" t="s">
        <v>65</v>
      </c>
      <c r="AK3" s="4" t="s">
        <v>50</v>
      </c>
      <c r="AL3" s="4" t="s">
        <v>50</v>
      </c>
      <c r="AM3" s="4" t="s">
        <v>66</v>
      </c>
      <c r="AN3" s="4" t="s">
        <v>67</v>
      </c>
      <c r="AO3" s="4" t="s">
        <v>53</v>
      </c>
      <c r="AP3" s="4" t="s">
        <v>56</v>
      </c>
      <c r="AQ3" s="4" t="s">
        <v>68</v>
      </c>
    </row>
    <row r="4" spans="1:43" ht="409.5" x14ac:dyDescent="0.35">
      <c r="A4" s="2" t="s">
        <v>95</v>
      </c>
      <c r="B4" s="2" t="s">
        <v>95</v>
      </c>
      <c r="C4" s="2" t="s">
        <v>95</v>
      </c>
      <c r="D4" s="2" t="s">
        <v>98</v>
      </c>
      <c r="E4" s="2" t="s">
        <v>99</v>
      </c>
      <c r="F4" s="5">
        <v>2</v>
      </c>
      <c r="G4" s="5">
        <v>2</v>
      </c>
      <c r="H4" s="2" t="s">
        <v>69</v>
      </c>
      <c r="I4" s="5">
        <v>1</v>
      </c>
      <c r="J4" s="5">
        <v>1</v>
      </c>
      <c r="K4" s="2" t="s">
        <v>70</v>
      </c>
      <c r="L4" s="4" t="s">
        <v>52</v>
      </c>
      <c r="M4" s="4" t="s">
        <v>56</v>
      </c>
      <c r="N4" s="4" t="s">
        <v>71</v>
      </c>
      <c r="O4" s="4" t="s">
        <v>56</v>
      </c>
      <c r="P4" s="4" t="s">
        <v>56</v>
      </c>
      <c r="Q4" s="4" t="s">
        <v>72</v>
      </c>
      <c r="R4" s="4" t="s">
        <v>63</v>
      </c>
      <c r="S4" s="4" t="s">
        <v>63</v>
      </c>
      <c r="T4" s="4" t="s">
        <v>73</v>
      </c>
      <c r="U4" s="4" t="s">
        <v>59</v>
      </c>
      <c r="V4" s="4" t="s">
        <v>50</v>
      </c>
      <c r="W4" s="4" t="s">
        <v>63</v>
      </c>
      <c r="X4" s="4" t="s">
        <v>74</v>
      </c>
      <c r="Y4" s="4" t="s">
        <v>53</v>
      </c>
      <c r="Z4" s="4" t="s">
        <v>53</v>
      </c>
      <c r="AA4" s="4" t="s">
        <v>75</v>
      </c>
      <c r="AB4" s="4" t="s">
        <v>50</v>
      </c>
      <c r="AC4" s="4" t="s">
        <v>53</v>
      </c>
      <c r="AD4" s="4" t="s">
        <v>76</v>
      </c>
      <c r="AE4" s="4" t="s">
        <v>63</v>
      </c>
      <c r="AF4" s="4" t="s">
        <v>63</v>
      </c>
      <c r="AG4" s="4" t="s">
        <v>77</v>
      </c>
      <c r="AH4" s="4" t="s">
        <v>56</v>
      </c>
      <c r="AI4" s="4" t="s">
        <v>52</v>
      </c>
      <c r="AJ4" s="4" t="s">
        <v>78</v>
      </c>
      <c r="AK4" s="4" t="s">
        <v>63</v>
      </c>
      <c r="AL4" s="4" t="s">
        <v>63</v>
      </c>
      <c r="AM4" s="4" t="s">
        <v>79</v>
      </c>
      <c r="AN4" s="4" t="s">
        <v>80</v>
      </c>
      <c r="AO4" s="4" t="s">
        <v>50</v>
      </c>
      <c r="AP4" s="4" t="s">
        <v>50</v>
      </c>
      <c r="AQ4" s="4" t="s">
        <v>81</v>
      </c>
    </row>
    <row r="5" spans="1:43" ht="43.5" x14ac:dyDescent="0.35">
      <c r="A5" s="2" t="s">
        <v>95</v>
      </c>
      <c r="B5" s="2" t="s">
        <v>95</v>
      </c>
      <c r="C5" s="2" t="s">
        <v>95</v>
      </c>
      <c r="D5" s="2" t="s">
        <v>100</v>
      </c>
      <c r="E5" s="2" t="s">
        <v>101</v>
      </c>
      <c r="F5" s="5">
        <v>3</v>
      </c>
      <c r="G5" s="5">
        <v>3</v>
      </c>
      <c r="H5" s="2" t="s">
        <v>64</v>
      </c>
      <c r="I5" s="5">
        <v>4</v>
      </c>
      <c r="J5" s="5">
        <v>4</v>
      </c>
      <c r="K5" s="2" t="s">
        <v>64</v>
      </c>
      <c r="L5" s="4" t="s">
        <v>52</v>
      </c>
      <c r="M5" s="4" t="s">
        <v>53</v>
      </c>
      <c r="N5" s="4" t="s">
        <v>64</v>
      </c>
      <c r="O5" s="4" t="s">
        <v>53</v>
      </c>
      <c r="P5" s="4" t="s">
        <v>56</v>
      </c>
      <c r="Q5" s="4" t="s">
        <v>64</v>
      </c>
      <c r="R5" s="4" t="s">
        <v>53</v>
      </c>
      <c r="S5" s="4" t="s">
        <v>53</v>
      </c>
      <c r="T5" s="4" t="s">
        <v>64</v>
      </c>
      <c r="U5" s="4" t="s">
        <v>59</v>
      </c>
      <c r="V5" s="4" t="s">
        <v>53</v>
      </c>
      <c r="W5" s="4" t="s">
        <v>56</v>
      </c>
      <c r="X5" s="4" t="s">
        <v>64</v>
      </c>
      <c r="Y5" s="4" t="s">
        <v>50</v>
      </c>
      <c r="Z5" s="4" t="s">
        <v>50</v>
      </c>
      <c r="AA5" s="4" t="s">
        <v>64</v>
      </c>
      <c r="AB5" s="4" t="s">
        <v>52</v>
      </c>
      <c r="AC5" s="4" t="s">
        <v>52</v>
      </c>
      <c r="AD5" s="4" t="s">
        <v>64</v>
      </c>
      <c r="AE5" s="4" t="s">
        <v>52</v>
      </c>
      <c r="AF5" s="4" t="s">
        <v>50</v>
      </c>
      <c r="AG5" s="4" t="s">
        <v>64</v>
      </c>
      <c r="AH5" s="4" t="s">
        <v>53</v>
      </c>
      <c r="AI5" s="4" t="s">
        <v>53</v>
      </c>
      <c r="AJ5" s="4" t="s">
        <v>64</v>
      </c>
      <c r="AK5" s="4" t="s">
        <v>50</v>
      </c>
      <c r="AL5" s="4" t="s">
        <v>50</v>
      </c>
      <c r="AM5" s="4" t="s">
        <v>64</v>
      </c>
      <c r="AN5" s="4" t="s">
        <v>59</v>
      </c>
      <c r="AO5" s="4" t="s">
        <v>53</v>
      </c>
      <c r="AP5" s="4" t="s">
        <v>53</v>
      </c>
      <c r="AQ5" s="4" t="s">
        <v>64</v>
      </c>
    </row>
    <row r="6" spans="1:43" ht="409.5" x14ac:dyDescent="0.35">
      <c r="A6" s="2" t="s">
        <v>95</v>
      </c>
      <c r="B6" s="2" t="s">
        <v>53</v>
      </c>
      <c r="C6" s="2" t="s">
        <v>95</v>
      </c>
      <c r="D6" s="2" t="s">
        <v>102</v>
      </c>
      <c r="E6" s="2" t="s">
        <v>64</v>
      </c>
      <c r="F6" s="5">
        <v>4</v>
      </c>
      <c r="G6" s="5">
        <v>3</v>
      </c>
      <c r="H6" s="2" t="s">
        <v>82</v>
      </c>
      <c r="I6" s="5">
        <v>2</v>
      </c>
      <c r="J6" s="5">
        <v>4</v>
      </c>
      <c r="K6" s="2" t="s">
        <v>83</v>
      </c>
      <c r="L6" s="4" t="s">
        <v>53</v>
      </c>
      <c r="M6" s="4" t="s">
        <v>56</v>
      </c>
      <c r="N6" s="4" t="s">
        <v>84</v>
      </c>
      <c r="O6" s="4" t="s">
        <v>53</v>
      </c>
      <c r="P6" s="4" t="s">
        <v>53</v>
      </c>
      <c r="Q6" s="4" t="s">
        <v>85</v>
      </c>
      <c r="R6" s="4" t="s">
        <v>52</v>
      </c>
      <c r="S6" s="4" t="s">
        <v>56</v>
      </c>
      <c r="T6" s="4" t="s">
        <v>86</v>
      </c>
      <c r="U6" s="4" t="s">
        <v>87</v>
      </c>
      <c r="V6" s="4" t="s">
        <v>53</v>
      </c>
      <c r="W6" s="4" t="s">
        <v>52</v>
      </c>
      <c r="X6" s="4" t="s">
        <v>88</v>
      </c>
      <c r="Y6" s="4" t="s">
        <v>50</v>
      </c>
      <c r="Z6" s="4" t="s">
        <v>63</v>
      </c>
      <c r="AA6" s="4" t="s">
        <v>89</v>
      </c>
      <c r="AB6" s="4" t="s">
        <v>52</v>
      </c>
      <c r="AC6" s="4" t="s">
        <v>50</v>
      </c>
      <c r="AD6" s="4" t="s">
        <v>90</v>
      </c>
      <c r="AE6" s="4" t="s">
        <v>63</v>
      </c>
      <c r="AF6" s="4" t="s">
        <v>63</v>
      </c>
      <c r="AG6" s="4" t="s">
        <v>91</v>
      </c>
      <c r="AH6" s="4" t="s">
        <v>53</v>
      </c>
      <c r="AI6" s="4" t="s">
        <v>53</v>
      </c>
      <c r="AJ6" s="4" t="s">
        <v>92</v>
      </c>
      <c r="AK6" s="4" t="s">
        <v>50</v>
      </c>
      <c r="AL6" s="4" t="s">
        <v>63</v>
      </c>
      <c r="AM6" s="4" t="s">
        <v>93</v>
      </c>
      <c r="AN6" s="4" t="s">
        <v>59</v>
      </c>
      <c r="AO6" s="4" t="s">
        <v>50</v>
      </c>
      <c r="AP6" s="4" t="s">
        <v>52</v>
      </c>
      <c r="AQ6" s="4" t="s">
        <v>94</v>
      </c>
    </row>
    <row r="7" spans="1:43" ht="43.5" x14ac:dyDescent="0.35">
      <c r="A7" s="2" t="s">
        <v>95</v>
      </c>
      <c r="B7" s="2" t="s">
        <v>95</v>
      </c>
      <c r="C7" s="2" t="s">
        <v>95</v>
      </c>
      <c r="D7" s="2" t="s">
        <v>270</v>
      </c>
      <c r="E7" s="2" t="s">
        <v>115</v>
      </c>
      <c r="F7" s="5">
        <v>3</v>
      </c>
      <c r="G7" s="5">
        <v>3</v>
      </c>
      <c r="H7" t="s">
        <v>271</v>
      </c>
      <c r="I7" s="5">
        <v>3</v>
      </c>
      <c r="J7" s="5">
        <v>4</v>
      </c>
      <c r="K7" t="s">
        <v>272</v>
      </c>
      <c r="L7" s="5">
        <v>1</v>
      </c>
      <c r="M7" s="5">
        <v>2</v>
      </c>
      <c r="N7" t="s">
        <v>273</v>
      </c>
      <c r="O7" s="5">
        <v>1</v>
      </c>
      <c r="P7" s="5">
        <v>1</v>
      </c>
      <c r="Q7" t="s">
        <v>274</v>
      </c>
      <c r="R7" s="5">
        <v>3</v>
      </c>
      <c r="S7" s="5">
        <v>3</v>
      </c>
      <c r="T7" t="s">
        <v>275</v>
      </c>
      <c r="U7" s="4" t="s">
        <v>59</v>
      </c>
      <c r="V7">
        <v>4</v>
      </c>
      <c r="W7">
        <v>3</v>
      </c>
      <c r="X7" t="s">
        <v>276</v>
      </c>
      <c r="Y7">
        <v>4</v>
      </c>
      <c r="Z7">
        <v>5</v>
      </c>
      <c r="AA7" t="s">
        <v>277</v>
      </c>
      <c r="AB7">
        <v>5</v>
      </c>
      <c r="AC7">
        <v>4</v>
      </c>
      <c r="AD7" t="s">
        <v>278</v>
      </c>
      <c r="AE7">
        <v>5</v>
      </c>
      <c r="AF7">
        <v>5</v>
      </c>
      <c r="AG7" t="s">
        <v>279</v>
      </c>
      <c r="AH7">
        <v>2</v>
      </c>
      <c r="AI7">
        <v>2</v>
      </c>
      <c r="AJ7" t="s">
        <v>280</v>
      </c>
      <c r="AK7">
        <v>4</v>
      </c>
      <c r="AL7">
        <v>5</v>
      </c>
      <c r="AM7" t="s">
        <v>281</v>
      </c>
      <c r="AN7" s="4" t="s">
        <v>59</v>
      </c>
      <c r="AO7">
        <v>4</v>
      </c>
      <c r="AP7">
        <v>3</v>
      </c>
      <c r="AQ7" t="s">
        <v>282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A57A-ABA2-40AB-B58D-B25AE46B4F83}">
  <dimension ref="A1:AQ7"/>
  <sheetViews>
    <sheetView topLeftCell="AB1" workbookViewId="0">
      <selection activeCell="AN4" sqref="AN4"/>
    </sheetView>
  </sheetViews>
  <sheetFormatPr defaultRowHeight="14.5" x14ac:dyDescent="0.35"/>
  <sheetData>
    <row r="1" spans="1:43" x14ac:dyDescent="0.35">
      <c r="A1" s="1" t="s">
        <v>0</v>
      </c>
      <c r="B1" s="1" t="s">
        <v>1</v>
      </c>
      <c r="C1" s="1" t="s">
        <v>2</v>
      </c>
      <c r="D1" s="1" t="s">
        <v>3</v>
      </c>
      <c r="E1" s="1" t="s">
        <v>4</v>
      </c>
      <c r="F1" s="1" t="s">
        <v>10</v>
      </c>
      <c r="G1" s="1" t="s">
        <v>3</v>
      </c>
      <c r="H1" s="1" t="s">
        <v>4</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row>
    <row r="2" spans="1:43" x14ac:dyDescent="0.35">
      <c r="A2" s="1" t="s">
        <v>5</v>
      </c>
      <c r="B2" s="1" t="s">
        <v>6</v>
      </c>
      <c r="C2" s="1" t="s">
        <v>7</v>
      </c>
      <c r="D2" s="1" t="s">
        <v>8</v>
      </c>
      <c r="E2" s="1" t="s">
        <v>9</v>
      </c>
      <c r="F2" s="1" t="s">
        <v>46</v>
      </c>
      <c r="G2" s="1" t="s">
        <v>47</v>
      </c>
      <c r="H2" s="1" t="s">
        <v>48</v>
      </c>
      <c r="I2" s="1" t="s">
        <v>46</v>
      </c>
      <c r="J2" s="1" t="s">
        <v>47</v>
      </c>
      <c r="K2" s="1" t="s">
        <v>48</v>
      </c>
      <c r="L2" s="1" t="s">
        <v>46</v>
      </c>
      <c r="M2" s="1" t="s">
        <v>47</v>
      </c>
      <c r="N2" s="1" t="s">
        <v>48</v>
      </c>
      <c r="O2" s="1" t="s">
        <v>46</v>
      </c>
      <c r="P2" s="1" t="s">
        <v>47</v>
      </c>
      <c r="Q2" s="1" t="s">
        <v>48</v>
      </c>
      <c r="R2" s="1" t="s">
        <v>46</v>
      </c>
      <c r="S2" s="1" t="s">
        <v>47</v>
      </c>
      <c r="T2" s="1" t="s">
        <v>48</v>
      </c>
      <c r="U2" s="1" t="s">
        <v>49</v>
      </c>
      <c r="V2" s="1" t="s">
        <v>46</v>
      </c>
      <c r="W2" s="1" t="s">
        <v>47</v>
      </c>
      <c r="X2" s="1" t="s">
        <v>48</v>
      </c>
      <c r="Y2" s="1" t="s">
        <v>46</v>
      </c>
      <c r="Z2" s="1" t="s">
        <v>47</v>
      </c>
      <c r="AA2" s="1" t="s">
        <v>48</v>
      </c>
      <c r="AB2" s="1" t="s">
        <v>46</v>
      </c>
      <c r="AC2" s="1" t="s">
        <v>47</v>
      </c>
      <c r="AD2" s="1" t="s">
        <v>48</v>
      </c>
      <c r="AE2" s="1" t="s">
        <v>46</v>
      </c>
      <c r="AF2" s="1" t="s">
        <v>47</v>
      </c>
      <c r="AG2" s="1" t="s">
        <v>48</v>
      </c>
      <c r="AH2" s="1" t="s">
        <v>46</v>
      </c>
      <c r="AI2" s="1" t="s">
        <v>47</v>
      </c>
      <c r="AJ2" s="1" t="s">
        <v>48</v>
      </c>
      <c r="AK2" s="1" t="s">
        <v>46</v>
      </c>
      <c r="AL2" s="1" t="s">
        <v>47</v>
      </c>
      <c r="AM2" s="1" t="s">
        <v>48</v>
      </c>
      <c r="AN2" s="1" t="s">
        <v>49</v>
      </c>
      <c r="AO2" s="1" t="s">
        <v>46</v>
      </c>
      <c r="AP2" s="1" t="s">
        <v>47</v>
      </c>
      <c r="AQ2" s="1" t="s">
        <v>48</v>
      </c>
    </row>
    <row r="3" spans="1:43" ht="409.5" x14ac:dyDescent="0.35">
      <c r="A3" s="2" t="s">
        <v>53</v>
      </c>
      <c r="B3" s="2" t="s">
        <v>95</v>
      </c>
      <c r="C3" s="2" t="s">
        <v>95</v>
      </c>
      <c r="D3" s="2" t="s">
        <v>114</v>
      </c>
      <c r="E3" s="2" t="s">
        <v>115</v>
      </c>
      <c r="F3" s="2" t="s">
        <v>52</v>
      </c>
      <c r="G3" s="2" t="s">
        <v>52</v>
      </c>
      <c r="H3" s="2" t="s">
        <v>116</v>
      </c>
      <c r="I3" s="2" t="s">
        <v>50</v>
      </c>
      <c r="J3" s="2" t="s">
        <v>63</v>
      </c>
      <c r="K3" s="2" t="s">
        <v>117</v>
      </c>
      <c r="L3" s="2" t="s">
        <v>56</v>
      </c>
      <c r="M3" s="2" t="s">
        <v>56</v>
      </c>
      <c r="N3" s="2" t="s">
        <v>118</v>
      </c>
      <c r="O3" s="2" t="s">
        <v>53</v>
      </c>
      <c r="P3" s="2" t="s">
        <v>56</v>
      </c>
      <c r="Q3" s="2" t="s">
        <v>119</v>
      </c>
      <c r="R3" s="2" t="s">
        <v>53</v>
      </c>
      <c r="S3" s="2" t="s">
        <v>52</v>
      </c>
      <c r="T3" s="2" t="s">
        <v>120</v>
      </c>
      <c r="U3" s="2" t="s">
        <v>87</v>
      </c>
      <c r="V3" s="2" t="s">
        <v>53</v>
      </c>
      <c r="W3" s="2" t="s">
        <v>56</v>
      </c>
      <c r="X3" s="2" t="s">
        <v>121</v>
      </c>
      <c r="Y3" s="2" t="s">
        <v>53</v>
      </c>
      <c r="Z3" s="2" t="s">
        <v>56</v>
      </c>
      <c r="AA3" s="2" t="s">
        <v>122</v>
      </c>
      <c r="AB3" s="2" t="s">
        <v>53</v>
      </c>
      <c r="AC3" s="2" t="s">
        <v>50</v>
      </c>
      <c r="AD3" s="2" t="s">
        <v>123</v>
      </c>
      <c r="AE3" s="2" t="s">
        <v>53</v>
      </c>
      <c r="AF3" s="2" t="s">
        <v>52</v>
      </c>
      <c r="AG3" s="2" t="s">
        <v>124</v>
      </c>
      <c r="AH3" s="2" t="s">
        <v>52</v>
      </c>
      <c r="AI3" s="2" t="s">
        <v>53</v>
      </c>
      <c r="AJ3" s="2" t="s">
        <v>125</v>
      </c>
      <c r="AK3" s="2" t="s">
        <v>50</v>
      </c>
      <c r="AL3" s="2" t="s">
        <v>63</v>
      </c>
      <c r="AM3" s="2" t="s">
        <v>126</v>
      </c>
      <c r="AN3" s="2" t="s">
        <v>67</v>
      </c>
      <c r="AO3" s="2" t="s">
        <v>53</v>
      </c>
      <c r="AP3" s="2" t="s">
        <v>56</v>
      </c>
      <c r="AQ3" s="2" t="s">
        <v>127</v>
      </c>
    </row>
    <row r="4" spans="1:43" ht="43.5" x14ac:dyDescent="0.35">
      <c r="A4" s="2" t="s">
        <v>128</v>
      </c>
      <c r="B4" s="2" t="s">
        <v>128</v>
      </c>
      <c r="C4" s="2" t="s">
        <v>128</v>
      </c>
      <c r="D4" s="2" t="s">
        <v>129</v>
      </c>
      <c r="E4" s="2" t="s">
        <v>64</v>
      </c>
      <c r="F4" s="2" t="s">
        <v>53</v>
      </c>
      <c r="G4" s="2" t="s">
        <v>50</v>
      </c>
      <c r="H4" s="2" t="s">
        <v>64</v>
      </c>
      <c r="I4" s="2" t="s">
        <v>50</v>
      </c>
      <c r="J4" s="2" t="s">
        <v>50</v>
      </c>
      <c r="K4" s="2" t="s">
        <v>64</v>
      </c>
      <c r="L4" s="2" t="s">
        <v>56</v>
      </c>
      <c r="M4" s="2" t="s">
        <v>53</v>
      </c>
      <c r="N4" s="2" t="s">
        <v>64</v>
      </c>
      <c r="O4" s="2" t="s">
        <v>50</v>
      </c>
      <c r="P4" s="2" t="s">
        <v>52</v>
      </c>
      <c r="Q4" s="2" t="s">
        <v>64</v>
      </c>
      <c r="R4" s="2" t="s">
        <v>50</v>
      </c>
      <c r="S4" s="2" t="s">
        <v>63</v>
      </c>
      <c r="T4" s="2" t="s">
        <v>64</v>
      </c>
      <c r="U4" s="2" t="s">
        <v>87</v>
      </c>
      <c r="V4" s="2" t="s">
        <v>52</v>
      </c>
      <c r="W4" s="2" t="s">
        <v>63</v>
      </c>
      <c r="X4" s="2" t="s">
        <v>64</v>
      </c>
      <c r="Y4" s="2" t="s">
        <v>53</v>
      </c>
      <c r="Z4" s="2" t="s">
        <v>50</v>
      </c>
      <c r="AA4" s="2" t="s">
        <v>64</v>
      </c>
      <c r="AB4" s="2" t="s">
        <v>50</v>
      </c>
      <c r="AC4" s="2" t="s">
        <v>63</v>
      </c>
      <c r="AD4" s="2" t="s">
        <v>64</v>
      </c>
      <c r="AE4" s="2" t="s">
        <v>53</v>
      </c>
      <c r="AF4" s="2" t="s">
        <v>56</v>
      </c>
      <c r="AG4" s="2" t="s">
        <v>64</v>
      </c>
      <c r="AH4" s="2" t="s">
        <v>56</v>
      </c>
      <c r="AI4" s="2" t="s">
        <v>56</v>
      </c>
      <c r="AJ4" s="2" t="s">
        <v>64</v>
      </c>
      <c r="AK4" s="2" t="s">
        <v>50</v>
      </c>
      <c r="AL4" s="2" t="s">
        <v>53</v>
      </c>
      <c r="AM4" s="2" t="s">
        <v>64</v>
      </c>
      <c r="AN4" s="2" t="s">
        <v>59</v>
      </c>
      <c r="AO4" s="2" t="s">
        <v>56</v>
      </c>
      <c r="AP4" s="2" t="s">
        <v>53</v>
      </c>
      <c r="AQ4" s="2" t="s">
        <v>64</v>
      </c>
    </row>
    <row r="5" spans="1:43" ht="409.5" x14ac:dyDescent="0.35">
      <c r="A5" s="2" t="s">
        <v>95</v>
      </c>
      <c r="B5" s="2" t="s">
        <v>95</v>
      </c>
      <c r="C5" s="2" t="s">
        <v>95</v>
      </c>
      <c r="D5" s="2" t="s">
        <v>130</v>
      </c>
      <c r="E5" s="2" t="s">
        <v>101</v>
      </c>
      <c r="F5" s="2" t="s">
        <v>56</v>
      </c>
      <c r="G5" s="2" t="s">
        <v>50</v>
      </c>
      <c r="H5" s="2" t="s">
        <v>131</v>
      </c>
      <c r="I5" s="2" t="s">
        <v>56</v>
      </c>
      <c r="J5" s="2" t="s">
        <v>52</v>
      </c>
      <c r="K5" s="2" t="s">
        <v>132</v>
      </c>
      <c r="L5" s="2" t="s">
        <v>56</v>
      </c>
      <c r="M5" s="2" t="s">
        <v>56</v>
      </c>
      <c r="N5" s="2" t="s">
        <v>133</v>
      </c>
      <c r="O5" s="2" t="s">
        <v>56</v>
      </c>
      <c r="P5" s="2" t="s">
        <v>56</v>
      </c>
      <c r="Q5" s="2" t="s">
        <v>134</v>
      </c>
      <c r="R5" s="2" t="s">
        <v>56</v>
      </c>
      <c r="S5" s="2" t="s">
        <v>50</v>
      </c>
      <c r="T5" s="2" t="s">
        <v>135</v>
      </c>
      <c r="U5" s="2" t="s">
        <v>59</v>
      </c>
      <c r="V5" s="2" t="s">
        <v>56</v>
      </c>
      <c r="W5" s="2" t="s">
        <v>56</v>
      </c>
      <c r="X5" s="2" t="s">
        <v>136</v>
      </c>
      <c r="Y5" s="2" t="s">
        <v>56</v>
      </c>
      <c r="Z5" s="2" t="s">
        <v>56</v>
      </c>
      <c r="AA5" s="2" t="s">
        <v>137</v>
      </c>
      <c r="AB5" s="2" t="s">
        <v>56</v>
      </c>
      <c r="AC5" s="2" t="s">
        <v>63</v>
      </c>
      <c r="AD5" s="2" t="s">
        <v>138</v>
      </c>
      <c r="AE5" s="2" t="s">
        <v>52</v>
      </c>
      <c r="AF5" s="2" t="s">
        <v>52</v>
      </c>
      <c r="AG5" s="2" t="s">
        <v>139</v>
      </c>
      <c r="AH5" s="2" t="s">
        <v>56</v>
      </c>
      <c r="AI5" s="2" t="s">
        <v>56</v>
      </c>
      <c r="AJ5" s="2" t="s">
        <v>137</v>
      </c>
      <c r="AK5" s="2" t="s">
        <v>56</v>
      </c>
      <c r="AL5" s="2" t="s">
        <v>63</v>
      </c>
      <c r="AM5" s="2" t="s">
        <v>140</v>
      </c>
      <c r="AN5" s="2" t="s">
        <v>59</v>
      </c>
      <c r="AO5" s="2" t="s">
        <v>56</v>
      </c>
      <c r="AP5" s="2" t="s">
        <v>56</v>
      </c>
      <c r="AQ5" s="2" t="s">
        <v>137</v>
      </c>
    </row>
    <row r="6" spans="1:43" ht="232" x14ac:dyDescent="0.35">
      <c r="A6" s="2" t="s">
        <v>95</v>
      </c>
      <c r="B6" s="2" t="s">
        <v>95</v>
      </c>
      <c r="C6" s="2" t="s">
        <v>95</v>
      </c>
      <c r="D6" s="2" t="s">
        <v>96</v>
      </c>
      <c r="E6" s="2" t="s">
        <v>141</v>
      </c>
      <c r="F6" s="2" t="s">
        <v>50</v>
      </c>
      <c r="G6" s="2" t="s">
        <v>50</v>
      </c>
      <c r="H6" s="2" t="s">
        <v>142</v>
      </c>
      <c r="I6" s="2" t="s">
        <v>50</v>
      </c>
      <c r="J6" s="2" t="s">
        <v>50</v>
      </c>
      <c r="K6" s="2" t="s">
        <v>143</v>
      </c>
      <c r="L6" s="2" t="s">
        <v>53</v>
      </c>
      <c r="M6" s="2" t="s">
        <v>53</v>
      </c>
      <c r="N6" s="2" t="s">
        <v>144</v>
      </c>
      <c r="O6" s="2" t="s">
        <v>52</v>
      </c>
      <c r="P6" s="2" t="s">
        <v>52</v>
      </c>
      <c r="Q6" s="2" t="s">
        <v>145</v>
      </c>
      <c r="R6" s="2" t="s">
        <v>50</v>
      </c>
      <c r="S6" s="2" t="s">
        <v>52</v>
      </c>
      <c r="T6" s="2" t="s">
        <v>146</v>
      </c>
      <c r="U6" s="2" t="s">
        <v>87</v>
      </c>
      <c r="V6" s="2" t="s">
        <v>52</v>
      </c>
      <c r="W6" s="2" t="s">
        <v>53</v>
      </c>
      <c r="X6" s="2" t="s">
        <v>147</v>
      </c>
      <c r="Y6" s="2" t="s">
        <v>52</v>
      </c>
      <c r="Z6" s="2" t="s">
        <v>52</v>
      </c>
      <c r="AA6" s="2" t="s">
        <v>148</v>
      </c>
      <c r="AB6" s="2" t="s">
        <v>52</v>
      </c>
      <c r="AC6" s="2" t="s">
        <v>52</v>
      </c>
      <c r="AD6" s="2" t="s">
        <v>149</v>
      </c>
      <c r="AE6" s="2" t="s">
        <v>53</v>
      </c>
      <c r="AF6" s="2" t="s">
        <v>52</v>
      </c>
      <c r="AG6" s="2" t="s">
        <v>150</v>
      </c>
      <c r="AH6" s="2" t="s">
        <v>53</v>
      </c>
      <c r="AI6" s="2" t="s">
        <v>53</v>
      </c>
      <c r="AJ6" s="2" t="s">
        <v>151</v>
      </c>
      <c r="AK6" s="2" t="s">
        <v>50</v>
      </c>
      <c r="AL6" s="2" t="s">
        <v>50</v>
      </c>
      <c r="AM6" s="2" t="s">
        <v>152</v>
      </c>
      <c r="AN6" s="2" t="s">
        <v>59</v>
      </c>
      <c r="AO6" s="2" t="s">
        <v>56</v>
      </c>
      <c r="AP6" s="2" t="s">
        <v>56</v>
      </c>
      <c r="AQ6" s="2" t="s">
        <v>153</v>
      </c>
    </row>
    <row r="7" spans="1:43" ht="409.5" x14ac:dyDescent="0.35">
      <c r="A7" s="2" t="s">
        <v>154</v>
      </c>
      <c r="B7" s="2" t="s">
        <v>95</v>
      </c>
      <c r="C7" s="2" t="s">
        <v>95</v>
      </c>
      <c r="D7" s="2" t="s">
        <v>96</v>
      </c>
      <c r="E7" s="2" t="s">
        <v>155</v>
      </c>
      <c r="F7" s="2" t="s">
        <v>53</v>
      </c>
      <c r="G7" s="2" t="s">
        <v>52</v>
      </c>
      <c r="H7" s="2" t="s">
        <v>156</v>
      </c>
      <c r="I7" s="2" t="s">
        <v>50</v>
      </c>
      <c r="J7" s="2" t="s">
        <v>50</v>
      </c>
      <c r="K7" s="2" t="s">
        <v>157</v>
      </c>
      <c r="L7" s="2" t="s">
        <v>52</v>
      </c>
      <c r="M7" s="2" t="s">
        <v>53</v>
      </c>
      <c r="N7" s="2" t="s">
        <v>158</v>
      </c>
      <c r="O7" s="2" t="s">
        <v>52</v>
      </c>
      <c r="P7" s="2" t="s">
        <v>52</v>
      </c>
      <c r="Q7" s="2" t="s">
        <v>159</v>
      </c>
      <c r="R7" s="2" t="s">
        <v>56</v>
      </c>
      <c r="S7" s="2" t="s">
        <v>53</v>
      </c>
      <c r="T7" s="2" t="s">
        <v>160</v>
      </c>
      <c r="U7" s="2" t="s">
        <v>67</v>
      </c>
      <c r="V7" s="2" t="s">
        <v>56</v>
      </c>
      <c r="W7" s="2" t="s">
        <v>56</v>
      </c>
      <c r="X7" s="2" t="s">
        <v>161</v>
      </c>
      <c r="Y7" s="2" t="s">
        <v>56</v>
      </c>
      <c r="Z7" s="2" t="s">
        <v>56</v>
      </c>
      <c r="AA7" s="2" t="s">
        <v>162</v>
      </c>
      <c r="AB7" s="2" t="s">
        <v>53</v>
      </c>
      <c r="AC7" s="2" t="s">
        <v>52</v>
      </c>
      <c r="AD7" s="2" t="s">
        <v>163</v>
      </c>
      <c r="AE7" s="2" t="s">
        <v>53</v>
      </c>
      <c r="AF7" s="2" t="s">
        <v>56</v>
      </c>
      <c r="AG7" s="2" t="s">
        <v>164</v>
      </c>
      <c r="AH7" s="2" t="s">
        <v>53</v>
      </c>
      <c r="AI7" s="2" t="s">
        <v>56</v>
      </c>
      <c r="AJ7" s="2" t="s">
        <v>165</v>
      </c>
      <c r="AK7" s="2" t="s">
        <v>53</v>
      </c>
      <c r="AL7" s="2" t="s">
        <v>56</v>
      </c>
      <c r="AM7" s="2" t="s">
        <v>166</v>
      </c>
      <c r="AN7" s="2" t="s">
        <v>67</v>
      </c>
      <c r="AO7" s="2" t="s">
        <v>53</v>
      </c>
      <c r="AP7" s="2" t="s">
        <v>56</v>
      </c>
      <c r="AQ7" s="2"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604A-F649-4811-93BB-1D067AE5A337}">
  <dimension ref="A1:AQ7"/>
  <sheetViews>
    <sheetView topLeftCell="Y1" workbookViewId="0">
      <selection activeCell="AN7" sqref="AN7"/>
    </sheetView>
  </sheetViews>
  <sheetFormatPr defaultRowHeight="14.5" x14ac:dyDescent="0.35"/>
  <cols>
    <col min="21" max="21" width="18.6328125" customWidth="1"/>
    <col min="40" max="40" width="16.6328125" customWidth="1"/>
  </cols>
  <sheetData>
    <row r="1" spans="1:43" x14ac:dyDescent="0.35">
      <c r="A1" t="s">
        <v>0</v>
      </c>
      <c r="B1" t="s">
        <v>1</v>
      </c>
      <c r="C1" t="s">
        <v>2</v>
      </c>
      <c r="D1" t="s">
        <v>3</v>
      </c>
      <c r="E1" t="s">
        <v>4</v>
      </c>
      <c r="F1" t="s">
        <v>10</v>
      </c>
      <c r="G1" t="s">
        <v>3</v>
      </c>
      <c r="H1" t="s">
        <v>4</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row>
    <row r="2" spans="1:43" x14ac:dyDescent="0.35">
      <c r="A2" t="s">
        <v>5</v>
      </c>
      <c r="B2" t="s">
        <v>6</v>
      </c>
      <c r="C2" t="s">
        <v>7</v>
      </c>
      <c r="D2" t="s">
        <v>8</v>
      </c>
      <c r="E2" t="s">
        <v>9</v>
      </c>
      <c r="F2" t="s">
        <v>46</v>
      </c>
      <c r="G2" t="s">
        <v>47</v>
      </c>
      <c r="H2" t="s">
        <v>48</v>
      </c>
      <c r="I2" t="s">
        <v>46</v>
      </c>
      <c r="J2" t="s">
        <v>47</v>
      </c>
      <c r="K2" t="s">
        <v>48</v>
      </c>
      <c r="L2" t="s">
        <v>46</v>
      </c>
      <c r="M2" t="s">
        <v>47</v>
      </c>
      <c r="N2" t="s">
        <v>48</v>
      </c>
      <c r="O2" t="s">
        <v>46</v>
      </c>
      <c r="P2" t="s">
        <v>47</v>
      </c>
      <c r="Q2" t="s">
        <v>48</v>
      </c>
      <c r="R2" t="s">
        <v>46</v>
      </c>
      <c r="S2" t="s">
        <v>47</v>
      </c>
      <c r="T2" t="s">
        <v>48</v>
      </c>
      <c r="U2" t="s">
        <v>49</v>
      </c>
      <c r="V2" t="s">
        <v>46</v>
      </c>
      <c r="W2" t="s">
        <v>47</v>
      </c>
      <c r="X2" t="s">
        <v>48</v>
      </c>
      <c r="Y2" t="s">
        <v>46</v>
      </c>
      <c r="Z2" t="s">
        <v>47</v>
      </c>
      <c r="AA2" t="s">
        <v>48</v>
      </c>
      <c r="AB2" t="s">
        <v>46</v>
      </c>
      <c r="AC2" t="s">
        <v>47</v>
      </c>
      <c r="AD2" t="s">
        <v>48</v>
      </c>
      <c r="AE2" t="s">
        <v>46</v>
      </c>
      <c r="AF2" t="s">
        <v>47</v>
      </c>
      <c r="AG2" t="s">
        <v>48</v>
      </c>
      <c r="AH2" t="s">
        <v>46</v>
      </c>
      <c r="AI2" t="s">
        <v>47</v>
      </c>
      <c r="AJ2" t="s">
        <v>48</v>
      </c>
      <c r="AK2" t="s">
        <v>46</v>
      </c>
      <c r="AL2" t="s">
        <v>47</v>
      </c>
      <c r="AM2" t="s">
        <v>48</v>
      </c>
      <c r="AN2" t="s">
        <v>49</v>
      </c>
      <c r="AO2" t="s">
        <v>46</v>
      </c>
      <c r="AP2" t="s">
        <v>47</v>
      </c>
      <c r="AQ2" t="s">
        <v>48</v>
      </c>
    </row>
    <row r="3" spans="1:43" x14ac:dyDescent="0.35">
      <c r="A3" s="3" t="s">
        <v>95</v>
      </c>
      <c r="B3" s="3" t="s">
        <v>154</v>
      </c>
      <c r="C3" s="3" t="s">
        <v>95</v>
      </c>
      <c r="D3" s="3" t="s">
        <v>168</v>
      </c>
      <c r="E3" s="3" t="s">
        <v>99</v>
      </c>
      <c r="F3" s="3" t="s">
        <v>53</v>
      </c>
      <c r="G3" s="3" t="s">
        <v>52</v>
      </c>
      <c r="H3" s="3" t="s">
        <v>169</v>
      </c>
      <c r="I3" s="3" t="s">
        <v>50</v>
      </c>
      <c r="J3" s="3" t="s">
        <v>50</v>
      </c>
      <c r="K3" s="3" t="s">
        <v>170</v>
      </c>
      <c r="L3" s="3" t="s">
        <v>53</v>
      </c>
      <c r="M3" s="3" t="s">
        <v>53</v>
      </c>
      <c r="N3" s="3" t="s">
        <v>171</v>
      </c>
      <c r="O3" s="3" t="s">
        <v>52</v>
      </c>
      <c r="P3" s="3" t="s">
        <v>52</v>
      </c>
      <c r="Q3" s="3" t="s">
        <v>172</v>
      </c>
      <c r="R3" s="3" t="s">
        <v>63</v>
      </c>
      <c r="S3" s="3" t="s">
        <v>63</v>
      </c>
      <c r="T3" s="3" t="s">
        <v>173</v>
      </c>
      <c r="U3" s="3" t="s">
        <v>87</v>
      </c>
      <c r="V3" s="3" t="s">
        <v>53</v>
      </c>
      <c r="W3" s="3" t="s">
        <v>53</v>
      </c>
      <c r="X3" s="3" t="s">
        <v>174</v>
      </c>
      <c r="Y3" s="3" t="s">
        <v>50</v>
      </c>
      <c r="Z3" s="3" t="s">
        <v>50</v>
      </c>
      <c r="AA3" s="3" t="s">
        <v>175</v>
      </c>
      <c r="AB3" s="3" t="s">
        <v>53</v>
      </c>
      <c r="AC3" s="3" t="s">
        <v>52</v>
      </c>
      <c r="AD3" s="3" t="s">
        <v>176</v>
      </c>
      <c r="AE3" s="3" t="s">
        <v>50</v>
      </c>
      <c r="AF3" s="3" t="s">
        <v>50</v>
      </c>
      <c r="AG3" s="3" t="s">
        <v>177</v>
      </c>
      <c r="AH3" s="3" t="s">
        <v>50</v>
      </c>
      <c r="AI3" s="3" t="s">
        <v>50</v>
      </c>
      <c r="AJ3" s="3" t="s">
        <v>178</v>
      </c>
      <c r="AK3" s="3" t="s">
        <v>53</v>
      </c>
      <c r="AL3" s="3" t="s">
        <v>52</v>
      </c>
      <c r="AM3" s="3" t="s">
        <v>179</v>
      </c>
      <c r="AN3" s="3" t="s">
        <v>80</v>
      </c>
      <c r="AO3" s="3" t="s">
        <v>50</v>
      </c>
      <c r="AP3" s="3" t="s">
        <v>63</v>
      </c>
      <c r="AQ3" s="3" t="s">
        <v>180</v>
      </c>
    </row>
    <row r="4" spans="1:43" x14ac:dyDescent="0.35">
      <c r="A4" s="3" t="s">
        <v>95</v>
      </c>
      <c r="B4" s="3" t="s">
        <v>95</v>
      </c>
      <c r="C4" s="3" t="s">
        <v>95</v>
      </c>
      <c r="D4" s="3" t="s">
        <v>181</v>
      </c>
      <c r="E4" s="3" t="s">
        <v>115</v>
      </c>
      <c r="F4" s="3" t="s">
        <v>52</v>
      </c>
      <c r="G4" s="3" t="s">
        <v>52</v>
      </c>
      <c r="H4" s="3" t="s">
        <v>182</v>
      </c>
      <c r="I4" s="3" t="s">
        <v>50</v>
      </c>
      <c r="J4" s="3" t="s">
        <v>50</v>
      </c>
      <c r="K4" s="3" t="s">
        <v>183</v>
      </c>
      <c r="L4" s="3" t="s">
        <v>50</v>
      </c>
      <c r="M4" s="3" t="s">
        <v>52</v>
      </c>
      <c r="N4" s="3" t="s">
        <v>184</v>
      </c>
      <c r="O4" s="3" t="s">
        <v>50</v>
      </c>
      <c r="P4" s="3" t="s">
        <v>52</v>
      </c>
      <c r="Q4" s="3" t="s">
        <v>185</v>
      </c>
      <c r="R4" s="3" t="s">
        <v>52</v>
      </c>
      <c r="S4" s="3" t="s">
        <v>52</v>
      </c>
      <c r="T4" s="3" t="s">
        <v>186</v>
      </c>
      <c r="U4" s="3" t="s">
        <v>187</v>
      </c>
      <c r="V4" s="3" t="s">
        <v>52</v>
      </c>
      <c r="W4" s="3" t="s">
        <v>52</v>
      </c>
      <c r="X4" s="3" t="s">
        <v>188</v>
      </c>
      <c r="Y4" s="3" t="s">
        <v>53</v>
      </c>
      <c r="Z4" s="3" t="s">
        <v>53</v>
      </c>
      <c r="AA4" s="3" t="s">
        <v>189</v>
      </c>
      <c r="AB4" s="3" t="s">
        <v>53</v>
      </c>
      <c r="AC4" s="3" t="s">
        <v>53</v>
      </c>
      <c r="AD4" s="3" t="s">
        <v>190</v>
      </c>
      <c r="AE4" s="3" t="s">
        <v>63</v>
      </c>
      <c r="AF4" s="3" t="s">
        <v>63</v>
      </c>
      <c r="AG4" s="3" t="s">
        <v>64</v>
      </c>
      <c r="AH4" s="3" t="s">
        <v>53</v>
      </c>
      <c r="AI4" s="3" t="s">
        <v>53</v>
      </c>
      <c r="AJ4" s="3" t="s">
        <v>191</v>
      </c>
      <c r="AK4" s="3" t="s">
        <v>56</v>
      </c>
      <c r="AL4" s="3" t="s">
        <v>52</v>
      </c>
      <c r="AM4" s="3" t="s">
        <v>192</v>
      </c>
      <c r="AN4" s="3" t="s">
        <v>187</v>
      </c>
      <c r="AO4" s="3" t="s">
        <v>52</v>
      </c>
      <c r="AP4" s="3" t="s">
        <v>52</v>
      </c>
      <c r="AQ4" s="3" t="s">
        <v>64</v>
      </c>
    </row>
    <row r="5" spans="1:43" x14ac:dyDescent="0.35">
      <c r="A5" s="3" t="s">
        <v>95</v>
      </c>
      <c r="B5" s="3" t="s">
        <v>95</v>
      </c>
      <c r="C5" s="3" t="s">
        <v>95</v>
      </c>
      <c r="D5" s="3" t="s">
        <v>96</v>
      </c>
      <c r="E5" s="3" t="s">
        <v>141</v>
      </c>
      <c r="F5" s="3" t="s">
        <v>53</v>
      </c>
      <c r="G5" s="3" t="s">
        <v>53</v>
      </c>
      <c r="H5" s="3" t="s">
        <v>193</v>
      </c>
      <c r="I5" s="3" t="s">
        <v>52</v>
      </c>
      <c r="J5" s="3" t="s">
        <v>53</v>
      </c>
      <c r="K5" s="3" t="s">
        <v>194</v>
      </c>
      <c r="L5" s="3" t="s">
        <v>50</v>
      </c>
      <c r="M5" s="3" t="s">
        <v>50</v>
      </c>
      <c r="N5" s="3" t="s">
        <v>195</v>
      </c>
      <c r="O5" s="3" t="s">
        <v>52</v>
      </c>
      <c r="P5" s="3" t="s">
        <v>52</v>
      </c>
      <c r="Q5" s="3" t="s">
        <v>196</v>
      </c>
      <c r="R5" s="3" t="s">
        <v>52</v>
      </c>
      <c r="S5" s="3" t="s">
        <v>52</v>
      </c>
      <c r="T5" s="3" t="s">
        <v>197</v>
      </c>
      <c r="U5" s="3" t="s">
        <v>67</v>
      </c>
      <c r="V5" s="3" t="s">
        <v>50</v>
      </c>
      <c r="W5" s="3" t="s">
        <v>50</v>
      </c>
      <c r="X5" s="3" t="s">
        <v>198</v>
      </c>
      <c r="Y5" s="3" t="s">
        <v>50</v>
      </c>
      <c r="Z5" s="3" t="s">
        <v>50</v>
      </c>
      <c r="AA5" s="3" t="s">
        <v>149</v>
      </c>
      <c r="AB5" s="3" t="s">
        <v>53</v>
      </c>
      <c r="AC5" s="3" t="s">
        <v>53</v>
      </c>
      <c r="AD5" s="3" t="s">
        <v>199</v>
      </c>
      <c r="AE5" s="3" t="s">
        <v>50</v>
      </c>
      <c r="AF5" s="3" t="s">
        <v>50</v>
      </c>
      <c r="AG5" s="3" t="s">
        <v>200</v>
      </c>
      <c r="AH5" s="3" t="s">
        <v>52</v>
      </c>
      <c r="AI5" s="3" t="s">
        <v>52</v>
      </c>
      <c r="AJ5" s="3" t="s">
        <v>201</v>
      </c>
      <c r="AK5" s="3" t="s">
        <v>56</v>
      </c>
      <c r="AL5" s="3" t="s">
        <v>56</v>
      </c>
      <c r="AM5" s="3" t="s">
        <v>202</v>
      </c>
      <c r="AN5" s="3" t="s">
        <v>187</v>
      </c>
      <c r="AO5" s="3" t="s">
        <v>52</v>
      </c>
      <c r="AP5" s="3" t="s">
        <v>52</v>
      </c>
      <c r="AQ5" s="3" t="s">
        <v>203</v>
      </c>
    </row>
    <row r="6" spans="1:43" x14ac:dyDescent="0.35">
      <c r="A6" s="3" t="s">
        <v>52</v>
      </c>
      <c r="B6" s="3" t="s">
        <v>56</v>
      </c>
      <c r="C6" s="3" t="s">
        <v>53</v>
      </c>
      <c r="D6" s="3" t="s">
        <v>204</v>
      </c>
      <c r="E6" s="3" t="s">
        <v>115</v>
      </c>
      <c r="F6" s="3" t="s">
        <v>52</v>
      </c>
      <c r="G6" s="3" t="s">
        <v>52</v>
      </c>
      <c r="H6" s="3" t="s">
        <v>64</v>
      </c>
      <c r="I6" s="3" t="s">
        <v>50</v>
      </c>
      <c r="J6" s="3" t="s">
        <v>50</v>
      </c>
      <c r="K6" s="3" t="s">
        <v>64</v>
      </c>
      <c r="L6" s="3" t="s">
        <v>52</v>
      </c>
      <c r="M6" s="3" t="s">
        <v>52</v>
      </c>
      <c r="N6" s="3" t="s">
        <v>64</v>
      </c>
      <c r="O6" s="3" t="s">
        <v>53</v>
      </c>
      <c r="P6" s="3" t="s">
        <v>53</v>
      </c>
      <c r="Q6" s="3" t="s">
        <v>64</v>
      </c>
      <c r="R6" s="3" t="s">
        <v>63</v>
      </c>
      <c r="S6" s="3" t="s">
        <v>63</v>
      </c>
      <c r="T6" s="3" t="s">
        <v>64</v>
      </c>
      <c r="U6" s="3" t="s">
        <v>59</v>
      </c>
      <c r="V6" s="3" t="s">
        <v>53</v>
      </c>
      <c r="W6" s="3" t="s">
        <v>53</v>
      </c>
      <c r="X6" s="3" t="s">
        <v>64</v>
      </c>
      <c r="Y6" s="3" t="s">
        <v>52</v>
      </c>
      <c r="Z6" s="3" t="s">
        <v>50</v>
      </c>
      <c r="AA6" s="3" t="s">
        <v>64</v>
      </c>
      <c r="AB6" s="3" t="s">
        <v>53</v>
      </c>
      <c r="AC6" s="3" t="s">
        <v>56</v>
      </c>
      <c r="AD6" s="3" t="s">
        <v>64</v>
      </c>
      <c r="AE6" s="3" t="s">
        <v>63</v>
      </c>
      <c r="AF6" s="3" t="s">
        <v>63</v>
      </c>
      <c r="AG6" s="3" t="s">
        <v>205</v>
      </c>
      <c r="AH6" s="3" t="s">
        <v>50</v>
      </c>
      <c r="AI6" s="3" t="s">
        <v>52</v>
      </c>
      <c r="AJ6" s="3" t="s">
        <v>64</v>
      </c>
      <c r="AK6" s="3" t="s">
        <v>52</v>
      </c>
      <c r="AL6" s="3" t="s">
        <v>52</v>
      </c>
      <c r="AM6" s="3" t="s">
        <v>64</v>
      </c>
      <c r="AN6" s="3" t="s">
        <v>80</v>
      </c>
      <c r="AO6" s="3" t="s">
        <v>50</v>
      </c>
      <c r="AP6" s="3" t="s">
        <v>52</v>
      </c>
      <c r="AQ6" s="3" t="s">
        <v>64</v>
      </c>
    </row>
    <row r="7" spans="1:43" x14ac:dyDescent="0.35">
      <c r="A7" s="3" t="s">
        <v>95</v>
      </c>
      <c r="B7" s="3" t="s">
        <v>95</v>
      </c>
      <c r="C7" s="3" t="s">
        <v>95</v>
      </c>
      <c r="D7" s="3" t="s">
        <v>168</v>
      </c>
      <c r="E7" s="3" t="s">
        <v>101</v>
      </c>
      <c r="F7" s="3" t="s">
        <v>52</v>
      </c>
      <c r="G7" s="3" t="s">
        <v>52</v>
      </c>
      <c r="H7" s="3" t="s">
        <v>64</v>
      </c>
      <c r="I7" s="3" t="s">
        <v>50</v>
      </c>
      <c r="J7" s="3" t="s">
        <v>50</v>
      </c>
      <c r="K7" s="3" t="s">
        <v>64</v>
      </c>
      <c r="L7" s="3" t="s">
        <v>53</v>
      </c>
      <c r="M7" s="3" t="s">
        <v>52</v>
      </c>
      <c r="N7" s="3" t="s">
        <v>64</v>
      </c>
      <c r="O7" s="3" t="s">
        <v>53</v>
      </c>
      <c r="P7" s="3" t="s">
        <v>53</v>
      </c>
      <c r="Q7" s="3" t="s">
        <v>64</v>
      </c>
      <c r="R7" s="3" t="s">
        <v>53</v>
      </c>
      <c r="S7" s="3" t="s">
        <v>52</v>
      </c>
      <c r="T7" s="3" t="s">
        <v>64</v>
      </c>
      <c r="U7" s="3" t="s">
        <v>59</v>
      </c>
      <c r="V7" s="3" t="s">
        <v>52</v>
      </c>
      <c r="W7" s="3" t="s">
        <v>52</v>
      </c>
      <c r="X7" s="3" t="s">
        <v>64</v>
      </c>
      <c r="Y7" s="3" t="s">
        <v>53</v>
      </c>
      <c r="Z7" s="3" t="s">
        <v>53</v>
      </c>
      <c r="AA7" s="3" t="s">
        <v>64</v>
      </c>
      <c r="AB7" s="3" t="s">
        <v>53</v>
      </c>
      <c r="AC7" s="3" t="s">
        <v>53</v>
      </c>
      <c r="AD7" s="3" t="s">
        <v>64</v>
      </c>
      <c r="AE7" s="3" t="s">
        <v>53</v>
      </c>
      <c r="AF7" s="3" t="s">
        <v>56</v>
      </c>
      <c r="AG7" s="3" t="s">
        <v>64</v>
      </c>
      <c r="AH7" s="3" t="s">
        <v>56</v>
      </c>
      <c r="AI7" s="3" t="s">
        <v>56</v>
      </c>
      <c r="AJ7" s="3" t="s">
        <v>64</v>
      </c>
      <c r="AK7" s="3" t="s">
        <v>53</v>
      </c>
      <c r="AL7" s="3" t="s">
        <v>53</v>
      </c>
      <c r="AM7" s="3" t="s">
        <v>64</v>
      </c>
      <c r="AN7" s="3" t="s">
        <v>59</v>
      </c>
      <c r="AO7" s="3" t="s">
        <v>53</v>
      </c>
      <c r="AP7" s="3" t="s">
        <v>53</v>
      </c>
      <c r="AQ7" s="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4ACE-5446-48CF-AEC3-BCF9789D98E2}">
  <dimension ref="A1:AQ6"/>
  <sheetViews>
    <sheetView topLeftCell="X1" workbookViewId="0">
      <selection activeCell="U3" sqref="U3"/>
    </sheetView>
  </sheetViews>
  <sheetFormatPr defaultRowHeight="14.5" x14ac:dyDescent="0.35"/>
  <cols>
    <col min="21" max="21" width="17.08984375" customWidth="1"/>
    <col min="40" max="40" width="19.81640625" customWidth="1"/>
  </cols>
  <sheetData>
    <row r="1" spans="1:43" x14ac:dyDescent="0.35">
      <c r="A1" t="s">
        <v>0</v>
      </c>
      <c r="B1" t="s">
        <v>1</v>
      </c>
      <c r="C1" t="s">
        <v>2</v>
      </c>
      <c r="D1" t="s">
        <v>3</v>
      </c>
      <c r="E1" t="s">
        <v>4</v>
      </c>
      <c r="F1" t="s">
        <v>10</v>
      </c>
      <c r="G1" t="s">
        <v>3</v>
      </c>
      <c r="H1" t="s">
        <v>4</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row>
    <row r="2" spans="1:43" x14ac:dyDescent="0.35">
      <c r="A2" t="s">
        <v>5</v>
      </c>
      <c r="B2" t="s">
        <v>6</v>
      </c>
      <c r="C2" t="s">
        <v>7</v>
      </c>
      <c r="D2" t="s">
        <v>8</v>
      </c>
      <c r="E2" t="s">
        <v>9</v>
      </c>
      <c r="F2" t="s">
        <v>46</v>
      </c>
      <c r="G2" t="s">
        <v>47</v>
      </c>
      <c r="H2" t="s">
        <v>48</v>
      </c>
      <c r="I2" t="s">
        <v>46</v>
      </c>
      <c r="J2" t="s">
        <v>47</v>
      </c>
      <c r="K2" t="s">
        <v>48</v>
      </c>
      <c r="L2" t="s">
        <v>46</v>
      </c>
      <c r="M2" t="s">
        <v>47</v>
      </c>
      <c r="N2" t="s">
        <v>48</v>
      </c>
      <c r="O2" t="s">
        <v>46</v>
      </c>
      <c r="P2" t="s">
        <v>47</v>
      </c>
      <c r="Q2" t="s">
        <v>48</v>
      </c>
      <c r="R2" t="s">
        <v>46</v>
      </c>
      <c r="S2" t="s">
        <v>47</v>
      </c>
      <c r="T2" t="s">
        <v>48</v>
      </c>
      <c r="U2" t="s">
        <v>49</v>
      </c>
      <c r="V2" t="s">
        <v>46</v>
      </c>
      <c r="W2" t="s">
        <v>47</v>
      </c>
      <c r="X2" t="s">
        <v>48</v>
      </c>
      <c r="Y2" t="s">
        <v>46</v>
      </c>
      <c r="Z2" t="s">
        <v>47</v>
      </c>
      <c r="AA2" t="s">
        <v>48</v>
      </c>
      <c r="AB2" t="s">
        <v>46</v>
      </c>
      <c r="AC2" t="s">
        <v>47</v>
      </c>
      <c r="AD2" t="s">
        <v>48</v>
      </c>
      <c r="AE2" t="s">
        <v>46</v>
      </c>
      <c r="AF2" t="s">
        <v>47</v>
      </c>
      <c r="AG2" t="s">
        <v>48</v>
      </c>
      <c r="AH2" t="s">
        <v>46</v>
      </c>
      <c r="AI2" t="s">
        <v>47</v>
      </c>
      <c r="AJ2" t="s">
        <v>48</v>
      </c>
      <c r="AK2" t="s">
        <v>46</v>
      </c>
      <c r="AL2" t="s">
        <v>47</v>
      </c>
      <c r="AM2" t="s">
        <v>48</v>
      </c>
      <c r="AN2" t="s">
        <v>49</v>
      </c>
      <c r="AO2" t="s">
        <v>46</v>
      </c>
      <c r="AP2" t="s">
        <v>47</v>
      </c>
      <c r="AQ2" t="s">
        <v>48</v>
      </c>
    </row>
    <row r="3" spans="1:43" x14ac:dyDescent="0.35">
      <c r="A3" t="s">
        <v>154</v>
      </c>
      <c r="B3" t="s">
        <v>154</v>
      </c>
      <c r="C3" t="s">
        <v>154</v>
      </c>
      <c r="D3" t="s">
        <v>206</v>
      </c>
      <c r="E3" t="s">
        <v>207</v>
      </c>
      <c r="F3" t="s">
        <v>50</v>
      </c>
      <c r="G3" t="s">
        <v>50</v>
      </c>
      <c r="H3" t="s">
        <v>64</v>
      </c>
      <c r="I3" t="s">
        <v>50</v>
      </c>
      <c r="J3" t="s">
        <v>50</v>
      </c>
      <c r="K3" t="s">
        <v>64</v>
      </c>
      <c r="L3" t="s">
        <v>53</v>
      </c>
      <c r="M3" t="s">
        <v>53</v>
      </c>
      <c r="N3" t="s">
        <v>64</v>
      </c>
      <c r="O3" t="s">
        <v>53</v>
      </c>
      <c r="P3" t="s">
        <v>53</v>
      </c>
      <c r="Q3" t="s">
        <v>64</v>
      </c>
      <c r="R3" t="s">
        <v>56</v>
      </c>
      <c r="S3" t="s">
        <v>56</v>
      </c>
      <c r="T3" t="s">
        <v>64</v>
      </c>
      <c r="U3" t="s">
        <v>187</v>
      </c>
      <c r="V3" t="s">
        <v>52</v>
      </c>
      <c r="W3" t="s">
        <v>52</v>
      </c>
      <c r="X3" t="s">
        <v>64</v>
      </c>
      <c r="Y3" t="s">
        <v>53</v>
      </c>
      <c r="Z3" t="s">
        <v>53</v>
      </c>
      <c r="AA3" t="s">
        <v>64</v>
      </c>
      <c r="AB3" t="s">
        <v>50</v>
      </c>
      <c r="AC3" t="s">
        <v>53</v>
      </c>
      <c r="AD3" t="s">
        <v>64</v>
      </c>
      <c r="AE3" t="s">
        <v>52</v>
      </c>
      <c r="AF3" t="s">
        <v>52</v>
      </c>
      <c r="AG3" t="s">
        <v>64</v>
      </c>
      <c r="AH3" t="s">
        <v>56</v>
      </c>
      <c r="AI3" t="s">
        <v>56</v>
      </c>
      <c r="AJ3" t="s">
        <v>64</v>
      </c>
      <c r="AK3" t="s">
        <v>63</v>
      </c>
      <c r="AL3" t="s">
        <v>63</v>
      </c>
      <c r="AM3" t="s">
        <v>64</v>
      </c>
      <c r="AN3" t="s">
        <v>59</v>
      </c>
      <c r="AO3" t="s">
        <v>50</v>
      </c>
      <c r="AP3" t="s">
        <v>50</v>
      </c>
      <c r="AQ3" t="s">
        <v>64</v>
      </c>
    </row>
    <row r="4" spans="1:43" x14ac:dyDescent="0.35">
      <c r="A4" t="s">
        <v>154</v>
      </c>
      <c r="B4" t="s">
        <v>53</v>
      </c>
      <c r="C4" t="s">
        <v>53</v>
      </c>
      <c r="D4" t="s">
        <v>96</v>
      </c>
      <c r="E4" t="s">
        <v>208</v>
      </c>
      <c r="F4" t="s">
        <v>63</v>
      </c>
      <c r="G4" t="s">
        <v>63</v>
      </c>
      <c r="H4" t="s">
        <v>64</v>
      </c>
      <c r="I4" t="s">
        <v>63</v>
      </c>
      <c r="J4" t="s">
        <v>52</v>
      </c>
      <c r="K4" t="s">
        <v>64</v>
      </c>
      <c r="L4" t="s">
        <v>63</v>
      </c>
      <c r="M4" t="s">
        <v>63</v>
      </c>
      <c r="N4" t="s">
        <v>64</v>
      </c>
      <c r="O4" t="s">
        <v>63</v>
      </c>
      <c r="P4" t="s">
        <v>50</v>
      </c>
      <c r="Q4" t="s">
        <v>64</v>
      </c>
      <c r="R4" t="s">
        <v>50</v>
      </c>
      <c r="S4" t="s">
        <v>52</v>
      </c>
      <c r="T4" t="s">
        <v>64</v>
      </c>
      <c r="U4" t="s">
        <v>187</v>
      </c>
      <c r="V4" t="s">
        <v>50</v>
      </c>
      <c r="W4" t="s">
        <v>52</v>
      </c>
      <c r="X4" t="s">
        <v>209</v>
      </c>
      <c r="Y4" t="s">
        <v>63</v>
      </c>
      <c r="Z4" t="s">
        <v>50</v>
      </c>
      <c r="AA4" t="s">
        <v>64</v>
      </c>
      <c r="AB4" t="s">
        <v>50</v>
      </c>
      <c r="AC4" t="s">
        <v>52</v>
      </c>
      <c r="AD4" t="s">
        <v>64</v>
      </c>
      <c r="AE4" t="s">
        <v>63</v>
      </c>
      <c r="AF4" t="s">
        <v>63</v>
      </c>
      <c r="AG4" t="s">
        <v>64</v>
      </c>
      <c r="AH4" t="s">
        <v>52</v>
      </c>
      <c r="AI4" t="s">
        <v>53</v>
      </c>
      <c r="AJ4" t="s">
        <v>210</v>
      </c>
      <c r="AK4" t="s">
        <v>50</v>
      </c>
      <c r="AL4" t="s">
        <v>63</v>
      </c>
      <c r="AM4" t="s">
        <v>64</v>
      </c>
      <c r="AN4" t="s">
        <v>59</v>
      </c>
      <c r="AO4" t="s">
        <v>52</v>
      </c>
      <c r="AP4" t="s">
        <v>50</v>
      </c>
      <c r="AQ4" t="s">
        <v>211</v>
      </c>
    </row>
    <row r="5" spans="1:43" x14ac:dyDescent="0.35">
      <c r="A5" t="s">
        <v>53</v>
      </c>
      <c r="B5" t="s">
        <v>95</v>
      </c>
      <c r="C5" t="s">
        <v>95</v>
      </c>
      <c r="D5" t="s">
        <v>212</v>
      </c>
      <c r="E5" t="s">
        <v>115</v>
      </c>
      <c r="F5" t="s">
        <v>63</v>
      </c>
      <c r="G5" t="s">
        <v>63</v>
      </c>
      <c r="H5" t="s">
        <v>64</v>
      </c>
      <c r="I5" t="s">
        <v>52</v>
      </c>
      <c r="J5" t="s">
        <v>53</v>
      </c>
      <c r="K5" t="s">
        <v>64</v>
      </c>
      <c r="L5" t="s">
        <v>63</v>
      </c>
      <c r="M5" t="s">
        <v>63</v>
      </c>
      <c r="N5" t="s">
        <v>64</v>
      </c>
      <c r="O5" t="s">
        <v>52</v>
      </c>
      <c r="P5" t="s">
        <v>53</v>
      </c>
      <c r="Q5" t="s">
        <v>64</v>
      </c>
      <c r="R5" t="s">
        <v>53</v>
      </c>
      <c r="S5" t="s">
        <v>56</v>
      </c>
      <c r="T5" t="s">
        <v>64</v>
      </c>
      <c r="U5" t="s">
        <v>187</v>
      </c>
      <c r="V5" t="s">
        <v>53</v>
      </c>
      <c r="W5" t="s">
        <v>56</v>
      </c>
      <c r="X5" t="s">
        <v>64</v>
      </c>
      <c r="Y5" t="s">
        <v>63</v>
      </c>
      <c r="Z5" t="s">
        <v>50</v>
      </c>
      <c r="AA5" t="s">
        <v>64</v>
      </c>
      <c r="AB5" t="s">
        <v>52</v>
      </c>
      <c r="AC5" t="s">
        <v>52</v>
      </c>
      <c r="AD5" t="s">
        <v>64</v>
      </c>
      <c r="AE5" t="s">
        <v>63</v>
      </c>
      <c r="AF5" t="s">
        <v>52</v>
      </c>
      <c r="AG5" t="s">
        <v>64</v>
      </c>
      <c r="AH5" t="s">
        <v>52</v>
      </c>
      <c r="AI5" t="s">
        <v>53</v>
      </c>
      <c r="AJ5" t="s">
        <v>64</v>
      </c>
      <c r="AK5" t="s">
        <v>63</v>
      </c>
      <c r="AL5" t="s">
        <v>63</v>
      </c>
      <c r="AM5" t="s">
        <v>64</v>
      </c>
      <c r="AN5" t="s">
        <v>59</v>
      </c>
      <c r="AO5" t="s">
        <v>50</v>
      </c>
      <c r="AP5" t="s">
        <v>53</v>
      </c>
      <c r="AQ5" t="s">
        <v>64</v>
      </c>
    </row>
    <row r="6" spans="1:43" x14ac:dyDescent="0.35">
      <c r="A6" t="s">
        <v>95</v>
      </c>
      <c r="B6" t="s">
        <v>95</v>
      </c>
      <c r="C6" t="s">
        <v>95</v>
      </c>
      <c r="D6" t="s">
        <v>96</v>
      </c>
      <c r="E6" t="s">
        <v>141</v>
      </c>
      <c r="F6" t="s">
        <v>50</v>
      </c>
      <c r="G6" t="s">
        <v>50</v>
      </c>
      <c r="H6" t="s">
        <v>213</v>
      </c>
      <c r="I6" t="s">
        <v>53</v>
      </c>
      <c r="J6" t="s">
        <v>53</v>
      </c>
      <c r="K6" t="s">
        <v>214</v>
      </c>
      <c r="L6" t="s">
        <v>50</v>
      </c>
      <c r="M6" t="s">
        <v>63</v>
      </c>
      <c r="N6" t="s">
        <v>215</v>
      </c>
      <c r="O6" t="s">
        <v>63</v>
      </c>
      <c r="P6" t="s">
        <v>63</v>
      </c>
      <c r="Q6" t="s">
        <v>216</v>
      </c>
      <c r="R6" t="s">
        <v>53</v>
      </c>
      <c r="S6" t="s">
        <v>53</v>
      </c>
      <c r="T6" t="s">
        <v>217</v>
      </c>
      <c r="U6" t="s">
        <v>80</v>
      </c>
      <c r="V6" t="s">
        <v>50</v>
      </c>
      <c r="W6" t="s">
        <v>50</v>
      </c>
      <c r="X6" t="s">
        <v>149</v>
      </c>
      <c r="Y6" t="s">
        <v>50</v>
      </c>
      <c r="Z6" t="s">
        <v>63</v>
      </c>
      <c r="AA6" t="s">
        <v>218</v>
      </c>
      <c r="AB6" t="s">
        <v>52</v>
      </c>
      <c r="AC6" t="s">
        <v>52</v>
      </c>
      <c r="AD6" t="s">
        <v>219</v>
      </c>
      <c r="AE6" t="s">
        <v>50</v>
      </c>
      <c r="AF6" t="s">
        <v>50</v>
      </c>
      <c r="AG6" t="s">
        <v>220</v>
      </c>
      <c r="AH6" t="s">
        <v>56</v>
      </c>
      <c r="AI6" t="s">
        <v>56</v>
      </c>
      <c r="AJ6" t="s">
        <v>221</v>
      </c>
      <c r="AK6" t="s">
        <v>50</v>
      </c>
      <c r="AL6" t="s">
        <v>50</v>
      </c>
      <c r="AM6" t="s">
        <v>149</v>
      </c>
      <c r="AN6" t="s">
        <v>59</v>
      </c>
      <c r="AO6" t="s">
        <v>63</v>
      </c>
      <c r="AP6" t="s">
        <v>50</v>
      </c>
      <c r="AQ6" t="s">
        <v>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A699-35AD-4247-AAB3-4BD2A5F360DE}">
  <dimension ref="A1:AQ6"/>
  <sheetViews>
    <sheetView topLeftCell="V1" workbookViewId="0">
      <selection activeCell="AN3" sqref="AN3"/>
    </sheetView>
  </sheetViews>
  <sheetFormatPr defaultRowHeight="14.5" x14ac:dyDescent="0.35"/>
  <cols>
    <col min="21" max="21" width="16.36328125" customWidth="1"/>
    <col min="40" max="40" width="18.6328125" customWidth="1"/>
  </cols>
  <sheetData>
    <row r="1" spans="1:43" x14ac:dyDescent="0.35">
      <c r="A1" t="s">
        <v>0</v>
      </c>
      <c r="B1" t="s">
        <v>1</v>
      </c>
      <c r="C1" t="s">
        <v>2</v>
      </c>
      <c r="D1" t="s">
        <v>3</v>
      </c>
      <c r="E1" t="s">
        <v>4</v>
      </c>
      <c r="F1" t="s">
        <v>10</v>
      </c>
      <c r="G1" t="s">
        <v>3</v>
      </c>
      <c r="H1" t="s">
        <v>4</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row>
    <row r="2" spans="1:43" x14ac:dyDescent="0.35">
      <c r="A2" t="s">
        <v>5</v>
      </c>
      <c r="B2" t="s">
        <v>6</v>
      </c>
      <c r="C2" t="s">
        <v>7</v>
      </c>
      <c r="D2" t="s">
        <v>8</v>
      </c>
      <c r="E2" t="s">
        <v>9</v>
      </c>
      <c r="F2" t="s">
        <v>46</v>
      </c>
      <c r="G2" t="s">
        <v>47</v>
      </c>
      <c r="H2" t="s">
        <v>48</v>
      </c>
      <c r="I2" t="s">
        <v>46</v>
      </c>
      <c r="J2" t="s">
        <v>47</v>
      </c>
      <c r="K2" t="s">
        <v>48</v>
      </c>
      <c r="L2" t="s">
        <v>46</v>
      </c>
      <c r="M2" t="s">
        <v>47</v>
      </c>
      <c r="N2" t="s">
        <v>48</v>
      </c>
      <c r="O2" t="s">
        <v>46</v>
      </c>
      <c r="P2" t="s">
        <v>47</v>
      </c>
      <c r="Q2" t="s">
        <v>48</v>
      </c>
      <c r="R2" t="s">
        <v>46</v>
      </c>
      <c r="S2" t="s">
        <v>47</v>
      </c>
      <c r="T2" t="s">
        <v>48</v>
      </c>
      <c r="U2" t="s">
        <v>49</v>
      </c>
      <c r="V2" t="s">
        <v>46</v>
      </c>
      <c r="W2" t="s">
        <v>47</v>
      </c>
      <c r="X2" t="s">
        <v>48</v>
      </c>
      <c r="Y2" t="s">
        <v>46</v>
      </c>
      <c r="Z2" t="s">
        <v>47</v>
      </c>
      <c r="AA2" t="s">
        <v>48</v>
      </c>
      <c r="AB2" t="s">
        <v>46</v>
      </c>
      <c r="AC2" t="s">
        <v>47</v>
      </c>
      <c r="AD2" t="s">
        <v>48</v>
      </c>
      <c r="AE2" t="s">
        <v>46</v>
      </c>
      <c r="AF2" t="s">
        <v>47</v>
      </c>
      <c r="AG2" t="s">
        <v>48</v>
      </c>
      <c r="AH2" t="s">
        <v>46</v>
      </c>
      <c r="AI2" t="s">
        <v>47</v>
      </c>
      <c r="AJ2" t="s">
        <v>48</v>
      </c>
      <c r="AK2" t="s">
        <v>46</v>
      </c>
      <c r="AL2" t="s">
        <v>47</v>
      </c>
      <c r="AM2" t="s">
        <v>48</v>
      </c>
      <c r="AN2" t="s">
        <v>49</v>
      </c>
      <c r="AO2" t="s">
        <v>46</v>
      </c>
      <c r="AP2" t="s">
        <v>47</v>
      </c>
      <c r="AQ2" t="s">
        <v>48</v>
      </c>
    </row>
    <row r="3" spans="1:43" x14ac:dyDescent="0.35">
      <c r="A3" t="s">
        <v>154</v>
      </c>
      <c r="B3" t="s">
        <v>52</v>
      </c>
      <c r="C3" t="s">
        <v>128</v>
      </c>
      <c r="D3" t="s">
        <v>223</v>
      </c>
      <c r="E3" t="s">
        <v>64</v>
      </c>
      <c r="F3" t="s">
        <v>52</v>
      </c>
      <c r="G3" t="s">
        <v>52</v>
      </c>
      <c r="H3" t="s">
        <v>224</v>
      </c>
      <c r="I3" t="s">
        <v>50</v>
      </c>
      <c r="J3" t="s">
        <v>52</v>
      </c>
      <c r="K3" t="s">
        <v>225</v>
      </c>
      <c r="L3" t="s">
        <v>50</v>
      </c>
      <c r="M3" t="s">
        <v>50</v>
      </c>
      <c r="N3" t="s">
        <v>64</v>
      </c>
      <c r="O3" t="s">
        <v>53</v>
      </c>
      <c r="P3" t="s">
        <v>52</v>
      </c>
      <c r="Q3" t="s">
        <v>64</v>
      </c>
      <c r="R3" t="s">
        <v>52</v>
      </c>
      <c r="S3" t="s">
        <v>52</v>
      </c>
      <c r="T3" t="s">
        <v>64</v>
      </c>
      <c r="U3" t="s">
        <v>59</v>
      </c>
      <c r="V3" t="s">
        <v>50</v>
      </c>
      <c r="W3" t="s">
        <v>50</v>
      </c>
      <c r="X3" t="s">
        <v>64</v>
      </c>
      <c r="Y3" t="s">
        <v>52</v>
      </c>
      <c r="Z3" t="s">
        <v>50</v>
      </c>
      <c r="AA3" t="s">
        <v>64</v>
      </c>
      <c r="AB3" t="s">
        <v>50</v>
      </c>
      <c r="AC3" t="s">
        <v>50</v>
      </c>
      <c r="AD3" t="s">
        <v>64</v>
      </c>
      <c r="AE3" t="s">
        <v>52</v>
      </c>
      <c r="AF3" t="s">
        <v>52</v>
      </c>
      <c r="AG3" t="s">
        <v>64</v>
      </c>
      <c r="AH3" t="s">
        <v>50</v>
      </c>
      <c r="AI3" t="s">
        <v>50</v>
      </c>
      <c r="AJ3" t="s">
        <v>64</v>
      </c>
      <c r="AK3" t="s">
        <v>53</v>
      </c>
      <c r="AL3" t="s">
        <v>53</v>
      </c>
      <c r="AM3" t="s">
        <v>64</v>
      </c>
      <c r="AN3" t="s">
        <v>187</v>
      </c>
      <c r="AO3" t="s">
        <v>50</v>
      </c>
      <c r="AP3" t="s">
        <v>52</v>
      </c>
      <c r="AQ3" t="s">
        <v>64</v>
      </c>
    </row>
    <row r="4" spans="1:43" x14ac:dyDescent="0.35">
      <c r="A4" t="s">
        <v>95</v>
      </c>
      <c r="B4" t="s">
        <v>95</v>
      </c>
      <c r="C4" t="s">
        <v>95</v>
      </c>
      <c r="D4" t="s">
        <v>226</v>
      </c>
      <c r="E4" t="s">
        <v>99</v>
      </c>
      <c r="F4" t="s">
        <v>53</v>
      </c>
      <c r="G4" t="s">
        <v>52</v>
      </c>
      <c r="H4" t="s">
        <v>64</v>
      </c>
      <c r="I4" t="s">
        <v>52</v>
      </c>
      <c r="J4" t="s">
        <v>50</v>
      </c>
      <c r="K4" t="s">
        <v>64</v>
      </c>
      <c r="L4" t="s">
        <v>63</v>
      </c>
      <c r="M4" t="s">
        <v>63</v>
      </c>
      <c r="N4" t="s">
        <v>64</v>
      </c>
      <c r="O4" t="s">
        <v>63</v>
      </c>
      <c r="P4" t="s">
        <v>50</v>
      </c>
      <c r="Q4" t="s">
        <v>64</v>
      </c>
      <c r="R4" t="s">
        <v>63</v>
      </c>
      <c r="S4" t="s">
        <v>63</v>
      </c>
      <c r="T4" t="s">
        <v>64</v>
      </c>
      <c r="U4" t="s">
        <v>67</v>
      </c>
      <c r="V4" t="s">
        <v>50</v>
      </c>
      <c r="W4" t="s">
        <v>50</v>
      </c>
      <c r="X4" t="s">
        <v>64</v>
      </c>
      <c r="Y4" t="s">
        <v>53</v>
      </c>
      <c r="Z4" t="s">
        <v>53</v>
      </c>
      <c r="AA4" t="s">
        <v>64</v>
      </c>
      <c r="AB4" t="s">
        <v>53</v>
      </c>
      <c r="AC4" t="s">
        <v>52</v>
      </c>
      <c r="AD4" t="s">
        <v>64</v>
      </c>
      <c r="AE4" t="s">
        <v>63</v>
      </c>
      <c r="AF4" t="s">
        <v>63</v>
      </c>
      <c r="AG4" t="s">
        <v>64</v>
      </c>
      <c r="AH4" t="s">
        <v>50</v>
      </c>
      <c r="AI4" t="s">
        <v>50</v>
      </c>
      <c r="AJ4" t="s">
        <v>64</v>
      </c>
      <c r="AK4" t="s">
        <v>52</v>
      </c>
      <c r="AL4" t="s">
        <v>52</v>
      </c>
      <c r="AM4" t="s">
        <v>64</v>
      </c>
      <c r="AN4" t="s">
        <v>67</v>
      </c>
      <c r="AO4" t="s">
        <v>52</v>
      </c>
      <c r="AP4" t="s">
        <v>52</v>
      </c>
      <c r="AQ4" t="s">
        <v>64</v>
      </c>
    </row>
    <row r="5" spans="1:43" x14ac:dyDescent="0.35">
      <c r="A5" t="s">
        <v>154</v>
      </c>
      <c r="B5" t="s">
        <v>227</v>
      </c>
      <c r="C5" t="s">
        <v>154</v>
      </c>
      <c r="D5" t="s">
        <v>228</v>
      </c>
      <c r="E5" t="s">
        <v>115</v>
      </c>
      <c r="F5" t="s">
        <v>50</v>
      </c>
      <c r="G5" t="s">
        <v>63</v>
      </c>
      <c r="H5" t="s">
        <v>229</v>
      </c>
      <c r="I5" t="s">
        <v>53</v>
      </c>
      <c r="J5" t="s">
        <v>56</v>
      </c>
      <c r="K5" t="s">
        <v>64</v>
      </c>
      <c r="L5" t="s">
        <v>56</v>
      </c>
      <c r="M5" t="s">
        <v>56</v>
      </c>
      <c r="N5" t="s">
        <v>64</v>
      </c>
      <c r="O5" t="s">
        <v>53</v>
      </c>
      <c r="P5" t="s">
        <v>56</v>
      </c>
      <c r="Q5" t="s">
        <v>64</v>
      </c>
      <c r="R5" t="s">
        <v>52</v>
      </c>
      <c r="S5" t="s">
        <v>53</v>
      </c>
      <c r="T5" t="s">
        <v>64</v>
      </c>
      <c r="U5" t="s">
        <v>87</v>
      </c>
      <c r="V5" t="s">
        <v>50</v>
      </c>
      <c r="W5" t="s">
        <v>52</v>
      </c>
      <c r="X5" t="s">
        <v>64</v>
      </c>
      <c r="Y5" t="s">
        <v>50</v>
      </c>
      <c r="Z5" t="s">
        <v>52</v>
      </c>
      <c r="AA5" t="s">
        <v>230</v>
      </c>
      <c r="AB5" t="s">
        <v>63</v>
      </c>
      <c r="AC5" t="s">
        <v>63</v>
      </c>
      <c r="AD5" t="s">
        <v>64</v>
      </c>
      <c r="AE5" t="s">
        <v>53</v>
      </c>
      <c r="AF5" t="s">
        <v>56</v>
      </c>
      <c r="AG5" t="s">
        <v>64</v>
      </c>
      <c r="AH5" t="s">
        <v>63</v>
      </c>
      <c r="AI5" t="s">
        <v>63</v>
      </c>
      <c r="AJ5" t="s">
        <v>64</v>
      </c>
      <c r="AK5" t="s">
        <v>50</v>
      </c>
      <c r="AL5" t="s">
        <v>50</v>
      </c>
      <c r="AM5" t="s">
        <v>64</v>
      </c>
      <c r="AN5" t="s">
        <v>87</v>
      </c>
      <c r="AO5" t="s">
        <v>52</v>
      </c>
      <c r="AP5" t="s">
        <v>53</v>
      </c>
      <c r="AQ5" t="s">
        <v>64</v>
      </c>
    </row>
    <row r="6" spans="1:43" x14ac:dyDescent="0.35">
      <c r="A6" t="s">
        <v>95</v>
      </c>
      <c r="B6" t="s">
        <v>95</v>
      </c>
      <c r="C6" t="s">
        <v>95</v>
      </c>
      <c r="D6" t="s">
        <v>96</v>
      </c>
      <c r="E6" t="s">
        <v>231</v>
      </c>
      <c r="F6" t="s">
        <v>53</v>
      </c>
      <c r="G6" t="s">
        <v>53</v>
      </c>
      <c r="H6" t="s">
        <v>232</v>
      </c>
      <c r="I6" t="s">
        <v>52</v>
      </c>
      <c r="J6" t="s">
        <v>52</v>
      </c>
      <c r="K6" t="s">
        <v>233</v>
      </c>
      <c r="L6" t="s">
        <v>52</v>
      </c>
      <c r="M6" t="s">
        <v>52</v>
      </c>
      <c r="N6" t="s">
        <v>234</v>
      </c>
      <c r="O6" t="s">
        <v>56</v>
      </c>
      <c r="P6" t="s">
        <v>56</v>
      </c>
      <c r="Q6" t="s">
        <v>235</v>
      </c>
      <c r="R6" t="s">
        <v>50</v>
      </c>
      <c r="S6" t="s">
        <v>50</v>
      </c>
      <c r="T6" t="s">
        <v>236</v>
      </c>
      <c r="U6" t="s">
        <v>59</v>
      </c>
      <c r="V6" t="s">
        <v>56</v>
      </c>
      <c r="W6" t="s">
        <v>56</v>
      </c>
      <c r="X6" t="s">
        <v>237</v>
      </c>
      <c r="Y6" t="s">
        <v>53</v>
      </c>
      <c r="Z6" t="s">
        <v>53</v>
      </c>
      <c r="AA6" t="s">
        <v>238</v>
      </c>
      <c r="AB6" t="s">
        <v>52</v>
      </c>
      <c r="AC6" t="s">
        <v>52</v>
      </c>
      <c r="AD6" t="s">
        <v>239</v>
      </c>
      <c r="AE6" t="s">
        <v>52</v>
      </c>
      <c r="AF6" t="s">
        <v>52</v>
      </c>
      <c r="AG6" t="s">
        <v>240</v>
      </c>
      <c r="AH6" t="s">
        <v>52</v>
      </c>
      <c r="AI6" t="s">
        <v>52</v>
      </c>
      <c r="AJ6" t="s">
        <v>241</v>
      </c>
      <c r="AK6" t="s">
        <v>50</v>
      </c>
      <c r="AL6" t="s">
        <v>52</v>
      </c>
      <c r="AM6" t="s">
        <v>242</v>
      </c>
      <c r="AN6" t="s">
        <v>67</v>
      </c>
      <c r="AO6" t="s">
        <v>50</v>
      </c>
      <c r="AP6" t="s">
        <v>50</v>
      </c>
      <c r="AQ6" t="s">
        <v>236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C5AC-4538-4331-9D28-663A4B5F2998}">
  <dimension ref="A1:AD72"/>
  <sheetViews>
    <sheetView zoomScale="122" workbookViewId="0">
      <pane ySplit="1" topLeftCell="A2" activePane="bottomLeft" state="frozen"/>
      <selection pane="bottomLeft" activeCell="D12" sqref="D12"/>
    </sheetView>
  </sheetViews>
  <sheetFormatPr defaultRowHeight="14.5" x14ac:dyDescent="0.35"/>
  <cols>
    <col min="1" max="1" width="9.36328125" customWidth="1"/>
    <col min="3" max="3" width="30.54296875" customWidth="1"/>
    <col min="4" max="4" width="36.7265625" customWidth="1"/>
    <col min="5" max="5" width="12.1796875" customWidth="1"/>
    <col min="6" max="6" width="13.36328125" customWidth="1"/>
    <col min="7" max="7" width="12.453125" customWidth="1"/>
    <col min="8" max="8" width="9.81640625" customWidth="1"/>
    <col min="9" max="9" width="11.81640625" customWidth="1"/>
    <col min="10" max="10" width="13.1796875" customWidth="1"/>
    <col min="11" max="12" width="25.7265625" customWidth="1"/>
    <col min="13" max="14" width="25.453125" customWidth="1"/>
    <col min="15" max="15" width="17.1796875" customWidth="1"/>
    <col min="16" max="16" width="16.6328125" customWidth="1"/>
    <col min="17" max="17" width="20.54296875" customWidth="1"/>
    <col min="18" max="18" width="17.81640625" customWidth="1"/>
    <col min="19" max="19" width="17.6328125" customWidth="1"/>
    <col min="20" max="20" width="17.90625" customWidth="1"/>
    <col min="21" max="21" width="21.7265625" customWidth="1"/>
    <col min="22" max="22" width="25" customWidth="1"/>
    <col min="23" max="23" width="16.1796875" customWidth="1"/>
    <col min="24" max="25" width="19.90625" customWidth="1"/>
    <col min="26" max="27" width="19" customWidth="1"/>
    <col min="28" max="30" width="21.26953125" customWidth="1"/>
  </cols>
  <sheetData>
    <row r="1" spans="1:30" x14ac:dyDescent="0.35">
      <c r="A1" t="s">
        <v>103</v>
      </c>
      <c r="B1" t="s">
        <v>106</v>
      </c>
      <c r="C1" t="s">
        <v>104</v>
      </c>
      <c r="D1" t="s">
        <v>105</v>
      </c>
      <c r="E1" t="s">
        <v>244</v>
      </c>
      <c r="F1" s="8" t="s">
        <v>243</v>
      </c>
      <c r="G1" s="8" t="s">
        <v>266</v>
      </c>
      <c r="H1" s="8" t="s">
        <v>267</v>
      </c>
      <c r="I1" s="8" t="s">
        <v>268</v>
      </c>
      <c r="J1" s="8" t="s">
        <v>285</v>
      </c>
      <c r="K1" t="s">
        <v>246</v>
      </c>
      <c r="L1" t="s">
        <v>247</v>
      </c>
      <c r="M1" t="s">
        <v>248</v>
      </c>
      <c r="N1" t="s">
        <v>249</v>
      </c>
      <c r="O1" t="s">
        <v>250</v>
      </c>
      <c r="P1" t="s">
        <v>251</v>
      </c>
      <c r="Q1" t="s">
        <v>252</v>
      </c>
      <c r="R1" t="s">
        <v>253</v>
      </c>
      <c r="S1" t="s">
        <v>254</v>
      </c>
      <c r="T1" t="s">
        <v>255</v>
      </c>
      <c r="U1" t="s">
        <v>256</v>
      </c>
      <c r="V1" t="s">
        <v>257</v>
      </c>
      <c r="W1" t="s">
        <v>258</v>
      </c>
      <c r="X1" t="s">
        <v>259</v>
      </c>
      <c r="Y1" t="s">
        <v>260</v>
      </c>
      <c r="Z1" t="s">
        <v>261</v>
      </c>
      <c r="AA1" t="s">
        <v>262</v>
      </c>
      <c r="AB1" t="s">
        <v>263</v>
      </c>
      <c r="AC1" t="s">
        <v>264</v>
      </c>
      <c r="AD1" t="s">
        <v>265</v>
      </c>
    </row>
    <row r="2" spans="1:30" x14ac:dyDescent="0.35">
      <c r="A2">
        <v>1</v>
      </c>
      <c r="B2" t="s">
        <v>107</v>
      </c>
      <c r="C2" s="7" cm="1">
        <f t="array" ref="C2">SUM(VALUE('Survey A'!F3:F7))</f>
        <v>16</v>
      </c>
      <c r="D2" s="7" cm="1">
        <f t="array" ref="D2">SUM(VALUE('Survey A'!G3:G7))</f>
        <v>15</v>
      </c>
      <c r="E2">
        <f>COUNT('Survey A'!F:F)</f>
        <v>5</v>
      </c>
      <c r="F2">
        <v>0</v>
      </c>
      <c r="G2">
        <f>C2/E2</f>
        <v>3.2</v>
      </c>
      <c r="H2">
        <f>D2/E2</f>
        <v>3</v>
      </c>
      <c r="I2">
        <f t="shared" ref="I2:I24" si="0">IF(AVERAGE(G2:H2)&lt;=2.75, 1, 0)</f>
        <v>0</v>
      </c>
      <c r="J2">
        <f>IF(AVERAGE(G2:H2)&gt;=3.25, 1, 0)</f>
        <v>0</v>
      </c>
      <c r="K2">
        <v>0.82540000000000002</v>
      </c>
      <c r="L2">
        <v>0</v>
      </c>
      <c r="M2">
        <v>0.78600000000000003</v>
      </c>
      <c r="N2">
        <v>0.63400000000000001</v>
      </c>
      <c r="O2">
        <v>0</v>
      </c>
      <c r="P2">
        <v>0.69159999999999999</v>
      </c>
      <c r="Q2">
        <v>1</v>
      </c>
      <c r="R2">
        <v>2.4308000000000001</v>
      </c>
      <c r="S2">
        <v>0.79269999999999996</v>
      </c>
      <c r="T2">
        <v>1.1911</v>
      </c>
      <c r="U2">
        <v>-4.49</v>
      </c>
      <c r="V2">
        <v>4.1654999999999998</v>
      </c>
      <c r="W2">
        <v>0</v>
      </c>
      <c r="X2">
        <v>0.6875</v>
      </c>
      <c r="Y2">
        <v>0.65400000000000003</v>
      </c>
      <c r="Z2">
        <v>9.5899999999999999E-2</v>
      </c>
      <c r="AA2">
        <v>8.6099999999999996E-2</v>
      </c>
      <c r="AB2">
        <v>0.88039999999999996</v>
      </c>
      <c r="AC2">
        <v>0.89629999999999999</v>
      </c>
      <c r="AD2">
        <v>0.93930000000000002</v>
      </c>
    </row>
    <row r="3" spans="1:30" x14ac:dyDescent="0.35">
      <c r="A3">
        <v>1</v>
      </c>
      <c r="B3" t="s">
        <v>108</v>
      </c>
      <c r="C3" cm="1">
        <f t="array" ref="C3">SUM(VALUE('Survey A'!I3:I7))</f>
        <v>13</v>
      </c>
      <c r="D3" cm="1">
        <f t="array" ref="D3">SUM(VALUE('Survey A'!J3:J7))</f>
        <v>15</v>
      </c>
      <c r="E3">
        <f>COUNT('Survey A'!F:F)</f>
        <v>5</v>
      </c>
      <c r="F3">
        <v>0</v>
      </c>
      <c r="G3">
        <f t="shared" ref="G3:G61" si="1">C3/E3</f>
        <v>2.6</v>
      </c>
      <c r="H3">
        <f t="shared" ref="H3:H61" si="2">D3/E3</f>
        <v>3</v>
      </c>
      <c r="I3">
        <f t="shared" si="0"/>
        <v>0</v>
      </c>
      <c r="J3">
        <f t="shared" ref="J3:J61" si="3">IF(AVERAGE(G3:H3)&gt;=3.25, 1, 0)</f>
        <v>0</v>
      </c>
      <c r="K3">
        <v>1.5391999999999999</v>
      </c>
      <c r="L3">
        <v>0</v>
      </c>
      <c r="M3">
        <v>0.52759999999999996</v>
      </c>
      <c r="N3">
        <v>0.7036</v>
      </c>
      <c r="O3">
        <v>0</v>
      </c>
      <c r="P3">
        <v>5.7099999999999998E-2</v>
      </c>
      <c r="Q3">
        <v>0.85709999999999997</v>
      </c>
      <c r="R3">
        <v>1.9061999999999999</v>
      </c>
      <c r="S3">
        <v>0.87460000000000004</v>
      </c>
      <c r="T3">
        <v>0.6492</v>
      </c>
      <c r="U3">
        <v>-5.0275999999999996</v>
      </c>
      <c r="V3">
        <v>3.4643000000000002</v>
      </c>
      <c r="W3">
        <v>0</v>
      </c>
      <c r="X3">
        <v>0.35709999999999997</v>
      </c>
      <c r="Y3">
        <v>0.77829999999999999</v>
      </c>
      <c r="Z3">
        <v>9.2100000000000001E-2</v>
      </c>
      <c r="AA3">
        <v>0.1027</v>
      </c>
      <c r="AB3">
        <v>0.86580000000000001</v>
      </c>
      <c r="AC3">
        <v>0.88700000000000001</v>
      </c>
      <c r="AD3">
        <v>0.91379999999999995</v>
      </c>
    </row>
    <row r="4" spans="1:30" x14ac:dyDescent="0.35">
      <c r="A4">
        <v>1</v>
      </c>
      <c r="B4" t="s">
        <v>109</v>
      </c>
      <c r="C4" cm="1">
        <f t="array" ref="C4">SUM(VALUE('Survey A'!L3:L7))</f>
        <v>11</v>
      </c>
      <c r="D4" cm="1">
        <f t="array" ref="D4">SUM(VALUE('Survey A'!M3:M7))</f>
        <v>8</v>
      </c>
      <c r="E4">
        <f>COUNT('Survey A'!F:F)</f>
        <v>5</v>
      </c>
      <c r="F4">
        <v>1</v>
      </c>
      <c r="G4">
        <f t="shared" si="1"/>
        <v>2.2000000000000002</v>
      </c>
      <c r="H4">
        <f t="shared" si="2"/>
        <v>1.6</v>
      </c>
      <c r="I4">
        <f t="shared" si="0"/>
        <v>1</v>
      </c>
      <c r="J4">
        <f t="shared" si="3"/>
        <v>0</v>
      </c>
      <c r="K4">
        <v>0.98880000000000001</v>
      </c>
      <c r="L4">
        <v>0</v>
      </c>
      <c r="M4">
        <v>0.83330000000000004</v>
      </c>
      <c r="N4">
        <v>0.61780000000000002</v>
      </c>
      <c r="O4">
        <v>0</v>
      </c>
      <c r="P4">
        <v>0.2</v>
      </c>
      <c r="Q4">
        <v>0.71430000000000005</v>
      </c>
      <c r="R4">
        <v>1.5596000000000001</v>
      </c>
      <c r="S4">
        <v>1.0852999999999999</v>
      </c>
      <c r="T4">
        <v>0.41049999999999998</v>
      </c>
      <c r="U4">
        <v>-5.4238999999999997</v>
      </c>
      <c r="V4">
        <v>4.7857000000000003</v>
      </c>
      <c r="W4">
        <v>0</v>
      </c>
      <c r="X4">
        <v>0.86750000000000005</v>
      </c>
      <c r="Y4">
        <v>0.50939999999999996</v>
      </c>
      <c r="Z4">
        <v>5.5100000000000003E-2</v>
      </c>
      <c r="AA4">
        <v>4.5699999999999998E-2</v>
      </c>
      <c r="AB4">
        <v>0.8458</v>
      </c>
      <c r="AC4">
        <v>0.88970000000000005</v>
      </c>
      <c r="AD4">
        <v>0.90410000000000001</v>
      </c>
    </row>
    <row r="5" spans="1:30" x14ac:dyDescent="0.35">
      <c r="A5">
        <v>1</v>
      </c>
      <c r="B5" t="s">
        <v>110</v>
      </c>
      <c r="C5" cm="1">
        <f t="array" ref="C5">SUM(VALUE('Survey A'!O3:O7))</f>
        <v>7</v>
      </c>
      <c r="D5" cm="1">
        <f t="array" ref="D5">SUM(VALUE('Survey A'!P3:P7))</f>
        <v>6</v>
      </c>
      <c r="E5">
        <f>COUNT('Survey A'!F:F)</f>
        <v>5</v>
      </c>
      <c r="F5">
        <v>4</v>
      </c>
      <c r="G5">
        <f t="shared" si="1"/>
        <v>1.4</v>
      </c>
      <c r="H5">
        <f t="shared" si="2"/>
        <v>1.2</v>
      </c>
      <c r="I5">
        <f t="shared" si="0"/>
        <v>1</v>
      </c>
      <c r="J5">
        <f t="shared" si="3"/>
        <v>0</v>
      </c>
      <c r="K5">
        <v>0.42599999999999999</v>
      </c>
      <c r="L5">
        <v>0</v>
      </c>
      <c r="M5">
        <v>0.31490000000000001</v>
      </c>
      <c r="N5">
        <v>0.184</v>
      </c>
      <c r="O5">
        <v>1</v>
      </c>
      <c r="P5">
        <v>0.1633</v>
      </c>
      <c r="Q5">
        <v>0.81820000000000004</v>
      </c>
      <c r="R5">
        <v>1.6164000000000001</v>
      </c>
      <c r="S5">
        <v>0.89670000000000005</v>
      </c>
      <c r="T5">
        <v>2.5705</v>
      </c>
      <c r="U5">
        <v>-5.0994999999999999</v>
      </c>
      <c r="V5">
        <v>2.9737</v>
      </c>
      <c r="W5">
        <v>1</v>
      </c>
      <c r="X5">
        <v>0.59370000000000001</v>
      </c>
      <c r="Y5">
        <v>0.57189999999999996</v>
      </c>
      <c r="Z5">
        <v>6.25E-2</v>
      </c>
      <c r="AA5">
        <v>5.1499999999999997E-2</v>
      </c>
      <c r="AB5">
        <v>0.74419999999999997</v>
      </c>
      <c r="AC5">
        <v>0.80369999999999997</v>
      </c>
      <c r="AD5">
        <v>0.90400000000000003</v>
      </c>
    </row>
    <row r="6" spans="1:30" x14ac:dyDescent="0.35">
      <c r="A6">
        <v>1</v>
      </c>
      <c r="B6" t="s">
        <v>111</v>
      </c>
      <c r="C6" cm="1">
        <f t="array" ref="C6">SUM(VALUE('Survey A'!R3:R7))</f>
        <v>14</v>
      </c>
      <c r="D6" cm="1">
        <f t="array" ref="D6">SUM(VALUE('Survey A'!S3:S7))</f>
        <v>12</v>
      </c>
      <c r="E6">
        <f>COUNT('Survey A'!F:F)</f>
        <v>5</v>
      </c>
      <c r="F6">
        <v>0</v>
      </c>
      <c r="G6">
        <f t="shared" si="1"/>
        <v>2.8</v>
      </c>
      <c r="H6">
        <f t="shared" si="2"/>
        <v>2.4</v>
      </c>
      <c r="I6">
        <f t="shared" si="0"/>
        <v>1</v>
      </c>
      <c r="J6">
        <f t="shared" si="3"/>
        <v>0</v>
      </c>
      <c r="K6">
        <v>0.4869</v>
      </c>
      <c r="L6">
        <v>0</v>
      </c>
      <c r="M6">
        <v>0.56620000000000004</v>
      </c>
      <c r="N6">
        <v>0.52629999999999999</v>
      </c>
      <c r="O6">
        <v>0</v>
      </c>
      <c r="P6">
        <v>0.45</v>
      </c>
      <c r="Q6">
        <v>0.6</v>
      </c>
      <c r="R6">
        <v>1.3297000000000001</v>
      </c>
      <c r="S6">
        <v>0.82320000000000004</v>
      </c>
      <c r="T6">
        <v>0.23810000000000001</v>
      </c>
      <c r="U6">
        <v>-6.3756000000000004</v>
      </c>
      <c r="V6">
        <v>3.01</v>
      </c>
      <c r="W6">
        <v>0</v>
      </c>
      <c r="X6">
        <v>0.59119999999999995</v>
      </c>
      <c r="Y6">
        <v>0.66710000000000003</v>
      </c>
      <c r="Z6">
        <v>5.6500000000000002E-2</v>
      </c>
      <c r="AA6">
        <v>5.3999999999999999E-2</v>
      </c>
      <c r="AB6">
        <v>0.84509999999999996</v>
      </c>
      <c r="AC6">
        <v>0.86150000000000004</v>
      </c>
      <c r="AD6">
        <v>0.91420000000000001</v>
      </c>
    </row>
    <row r="7" spans="1:30" x14ac:dyDescent="0.35">
      <c r="A7">
        <v>1</v>
      </c>
      <c r="B7" t="s">
        <v>112</v>
      </c>
      <c r="C7" cm="1">
        <f t="array" ref="C7">SUM(VALUE('Survey A'!V3:V7))</f>
        <v>15</v>
      </c>
      <c r="D7" cm="1">
        <f t="array" ref="D7">SUM(VALUE('Survey A'!W3:W7))</f>
        <v>15</v>
      </c>
      <c r="E7">
        <f>COUNT('Survey A'!F:F)</f>
        <v>5</v>
      </c>
      <c r="F7" t="s">
        <v>113</v>
      </c>
      <c r="G7">
        <f t="shared" si="1"/>
        <v>3</v>
      </c>
      <c r="H7">
        <f t="shared" si="2"/>
        <v>3</v>
      </c>
      <c r="I7">
        <f t="shared" si="0"/>
        <v>0</v>
      </c>
      <c r="J7">
        <f t="shared" si="3"/>
        <v>0</v>
      </c>
      <c r="K7">
        <v>1.0164</v>
      </c>
      <c r="L7">
        <v>0</v>
      </c>
      <c r="M7">
        <v>0.69510000000000005</v>
      </c>
      <c r="N7">
        <v>0.29399999999999998</v>
      </c>
      <c r="O7">
        <v>0</v>
      </c>
      <c r="P7">
        <v>7.0599999999999996E-2</v>
      </c>
      <c r="Q7">
        <v>1</v>
      </c>
      <c r="R7">
        <v>2.2719</v>
      </c>
      <c r="S7">
        <v>1.4287000000000001</v>
      </c>
      <c r="T7">
        <v>1.5992</v>
      </c>
      <c r="U7">
        <v>-5.5625</v>
      </c>
      <c r="V7">
        <v>4.9866999999999999</v>
      </c>
      <c r="W7">
        <v>0</v>
      </c>
      <c r="X7">
        <v>0.39679999999999999</v>
      </c>
      <c r="Y7">
        <v>0.83989999999999998</v>
      </c>
      <c r="Z7">
        <v>6.1899999999999997E-2</v>
      </c>
      <c r="AA7">
        <v>5.8500000000000003E-2</v>
      </c>
      <c r="AB7">
        <v>0.90490000000000004</v>
      </c>
      <c r="AC7">
        <v>0.9325</v>
      </c>
      <c r="AD7">
        <v>0.8589</v>
      </c>
    </row>
    <row r="8" spans="1:30" x14ac:dyDescent="0.35">
      <c r="A8">
        <v>2</v>
      </c>
      <c r="B8" t="s">
        <v>107</v>
      </c>
      <c r="C8" cm="1">
        <f t="array" ref="C8">SUM(VALUE('Survey A'!AK3:AK7))</f>
        <v>21</v>
      </c>
      <c r="D8" cm="1">
        <f t="array" ref="D8">SUM(VALUE('Survey A'!AL3:AL7))</f>
        <v>23</v>
      </c>
      <c r="E8">
        <f>COUNT('Survey A'!F:F)</f>
        <v>5</v>
      </c>
      <c r="F8">
        <v>0</v>
      </c>
      <c r="G8">
        <f t="shared" si="1"/>
        <v>4.2</v>
      </c>
      <c r="H8">
        <f t="shared" si="2"/>
        <v>4.5999999999999996</v>
      </c>
      <c r="I8">
        <f t="shared" si="0"/>
        <v>0</v>
      </c>
      <c r="J8">
        <f t="shared" si="3"/>
        <v>1</v>
      </c>
      <c r="K8">
        <v>0.53029999999999999</v>
      </c>
      <c r="L8">
        <v>1.0645</v>
      </c>
      <c r="M8">
        <v>0.54959999999999998</v>
      </c>
      <c r="N8">
        <v>1.1040000000000001</v>
      </c>
      <c r="O8">
        <v>0</v>
      </c>
      <c r="P8">
        <v>0.35289999999999999</v>
      </c>
      <c r="Q8">
        <v>0.55559999999999998</v>
      </c>
      <c r="R8">
        <v>1.6093999999999999</v>
      </c>
      <c r="S8">
        <v>1.1516</v>
      </c>
      <c r="T8">
        <v>0.52729999999999999</v>
      </c>
      <c r="U8">
        <v>-4.9324000000000003</v>
      </c>
      <c r="V8">
        <v>1.5214000000000001</v>
      </c>
      <c r="W8">
        <v>0</v>
      </c>
      <c r="X8">
        <v>0.55420000000000003</v>
      </c>
      <c r="Y8">
        <v>0.62239999999999995</v>
      </c>
      <c r="Z8">
        <v>0.15570000000000001</v>
      </c>
      <c r="AA8">
        <v>5.04E-2</v>
      </c>
      <c r="AB8">
        <v>0.82450000000000001</v>
      </c>
      <c r="AC8">
        <v>0.71509999999999996</v>
      </c>
      <c r="AD8">
        <v>0.84540000000000004</v>
      </c>
    </row>
    <row r="9" spans="1:30" x14ac:dyDescent="0.35">
      <c r="A9">
        <v>2</v>
      </c>
      <c r="B9" t="s">
        <v>108</v>
      </c>
      <c r="C9" cm="1">
        <f t="array" ref="C9">SUM(VALUE('Survey A'!AB3:AB7))</f>
        <v>19</v>
      </c>
      <c r="D9" cm="1">
        <f t="array" ref="D9">SUM(VALUE('Survey A'!AC3:AC7))</f>
        <v>17</v>
      </c>
      <c r="E9">
        <f>COUNT('Survey A'!F:F)</f>
        <v>5</v>
      </c>
      <c r="F9">
        <v>1</v>
      </c>
      <c r="G9">
        <f t="shared" si="1"/>
        <v>3.8</v>
      </c>
      <c r="H9">
        <f t="shared" si="2"/>
        <v>3.4</v>
      </c>
      <c r="I9">
        <f t="shared" si="0"/>
        <v>0</v>
      </c>
      <c r="J9">
        <f t="shared" si="3"/>
        <v>1</v>
      </c>
      <c r="K9">
        <v>0.36509999999999998</v>
      </c>
      <c r="L9">
        <v>1.2448999999999999</v>
      </c>
      <c r="M9">
        <v>0.78339999999999999</v>
      </c>
      <c r="N9">
        <v>0.45379999999999998</v>
      </c>
      <c r="O9">
        <v>0</v>
      </c>
      <c r="P9">
        <v>0.57379999999999998</v>
      </c>
      <c r="Q9">
        <v>1</v>
      </c>
      <c r="R9">
        <v>2.1640000000000001</v>
      </c>
      <c r="S9">
        <v>1.1618999999999999</v>
      </c>
      <c r="T9">
        <v>1.0684</v>
      </c>
      <c r="U9">
        <v>-6.2596999999999996</v>
      </c>
      <c r="V9">
        <v>3.8519000000000001</v>
      </c>
      <c r="W9">
        <v>1</v>
      </c>
      <c r="X9">
        <v>0.55859999999999999</v>
      </c>
      <c r="Y9">
        <v>0.18840000000000001</v>
      </c>
      <c r="Z9">
        <v>0.1176</v>
      </c>
      <c r="AA9">
        <v>9.9000000000000005E-2</v>
      </c>
      <c r="AB9">
        <v>0.87590000000000001</v>
      </c>
      <c r="AC9">
        <v>0.84589999999999999</v>
      </c>
      <c r="AD9">
        <v>0.87490000000000001</v>
      </c>
    </row>
    <row r="10" spans="1:30" x14ac:dyDescent="0.35">
      <c r="A10">
        <v>2</v>
      </c>
      <c r="B10" t="s">
        <v>109</v>
      </c>
      <c r="C10" cm="1">
        <f t="array" ref="C10">SUM(VALUE('Survey A'!AE3:AE7))</f>
        <v>23</v>
      </c>
      <c r="D10" cm="1">
        <f t="array" ref="D10">SUM(VALUE('Survey A'!AF3:AF7))</f>
        <v>24</v>
      </c>
      <c r="E10">
        <f>COUNT('Survey A'!F:F)</f>
        <v>5</v>
      </c>
      <c r="F10">
        <v>0</v>
      </c>
      <c r="G10">
        <f t="shared" si="1"/>
        <v>4.5999999999999996</v>
      </c>
      <c r="H10">
        <f t="shared" si="2"/>
        <v>4.8</v>
      </c>
      <c r="I10">
        <f t="shared" si="0"/>
        <v>0</v>
      </c>
      <c r="J10">
        <f t="shared" si="3"/>
        <v>1</v>
      </c>
      <c r="K10">
        <v>0.67759999999999998</v>
      </c>
      <c r="L10">
        <v>1.3973</v>
      </c>
      <c r="M10">
        <v>0.86080000000000001</v>
      </c>
      <c r="N10">
        <v>1.5204</v>
      </c>
      <c r="O10">
        <v>0</v>
      </c>
      <c r="P10">
        <v>0.56940000000000002</v>
      </c>
      <c r="Q10">
        <v>0.9</v>
      </c>
      <c r="R10">
        <v>2.1457999999999999</v>
      </c>
      <c r="S10">
        <v>0.67369999999999997</v>
      </c>
      <c r="T10">
        <v>0.74919999999999998</v>
      </c>
      <c r="U10">
        <v>-6.9314999999999998</v>
      </c>
      <c r="V10">
        <v>2.1282999999999999</v>
      </c>
      <c r="W10">
        <v>0</v>
      </c>
      <c r="X10">
        <v>0.77769999999999995</v>
      </c>
      <c r="Y10">
        <v>0.47949999999999998</v>
      </c>
      <c r="Z10">
        <v>0.15590000000000001</v>
      </c>
      <c r="AA10">
        <v>5.5500000000000001E-2</v>
      </c>
      <c r="AB10">
        <v>0.88329999999999997</v>
      </c>
      <c r="AC10">
        <v>0.78920000000000001</v>
      </c>
      <c r="AD10">
        <v>0.87760000000000005</v>
      </c>
    </row>
    <row r="11" spans="1:30" x14ac:dyDescent="0.35">
      <c r="A11">
        <v>2</v>
      </c>
      <c r="B11" t="s">
        <v>110</v>
      </c>
      <c r="C11" cm="1">
        <f t="array" ref="C11">SUM(VALUE('Survey A'!AH3:AH7))</f>
        <v>10</v>
      </c>
      <c r="D11" cm="1">
        <f t="array" ref="D11">SUM(VALUE('Survey A'!AI3:AI7))</f>
        <v>12</v>
      </c>
      <c r="E11">
        <f>COUNT('Survey A'!F:F)</f>
        <v>5</v>
      </c>
      <c r="F11">
        <v>3</v>
      </c>
      <c r="G11">
        <f t="shared" si="1"/>
        <v>2</v>
      </c>
      <c r="H11">
        <f t="shared" si="2"/>
        <v>2.4</v>
      </c>
      <c r="I11">
        <f t="shared" si="0"/>
        <v>1</v>
      </c>
      <c r="J11">
        <f t="shared" si="3"/>
        <v>0</v>
      </c>
      <c r="K11">
        <v>0.91279999999999994</v>
      </c>
      <c r="L11">
        <v>0.66659999999999997</v>
      </c>
      <c r="M11">
        <v>0.64890000000000003</v>
      </c>
      <c r="N11">
        <v>0.93610000000000004</v>
      </c>
      <c r="O11">
        <v>1</v>
      </c>
      <c r="P11">
        <v>0.56040000000000001</v>
      </c>
      <c r="Q11">
        <v>0.46150000000000002</v>
      </c>
      <c r="R11">
        <v>0.89529999999999998</v>
      </c>
      <c r="S11">
        <v>0.59799999999999998</v>
      </c>
      <c r="T11">
        <v>0.4773</v>
      </c>
      <c r="U11">
        <v>-7.4286000000000003</v>
      </c>
      <c r="V11">
        <v>0.68330000000000002</v>
      </c>
      <c r="W11">
        <v>0</v>
      </c>
      <c r="X11">
        <v>0.73760000000000003</v>
      </c>
      <c r="Y11">
        <v>0.3256</v>
      </c>
      <c r="Z11">
        <v>2.7699999999999999E-2</v>
      </c>
      <c r="AA11">
        <v>0.15210000000000001</v>
      </c>
      <c r="AB11">
        <v>0.71970000000000001</v>
      </c>
      <c r="AC11">
        <v>0.63590000000000002</v>
      </c>
      <c r="AD11">
        <v>0.86009999999999998</v>
      </c>
    </row>
    <row r="12" spans="1:30" x14ac:dyDescent="0.35">
      <c r="A12">
        <v>2</v>
      </c>
      <c r="B12" t="s">
        <v>111</v>
      </c>
      <c r="C12" cm="1">
        <f t="array" ref="C12">SUM(VALUE('Survey A'!Y3:Y7))</f>
        <v>17</v>
      </c>
      <c r="D12" cm="1">
        <f t="array" ref="D12">SUM(VALUE('Survey A'!Z3:Z7))</f>
        <v>19</v>
      </c>
      <c r="E12">
        <f>COUNT('Survey A'!F:F)</f>
        <v>5</v>
      </c>
      <c r="F12">
        <v>1</v>
      </c>
      <c r="G12">
        <f t="shared" si="1"/>
        <v>3.4</v>
      </c>
      <c r="H12">
        <f t="shared" si="2"/>
        <v>3.8</v>
      </c>
      <c r="I12">
        <f t="shared" si="0"/>
        <v>0</v>
      </c>
      <c r="J12">
        <f t="shared" si="3"/>
        <v>1</v>
      </c>
      <c r="K12">
        <v>0.53029999999999999</v>
      </c>
      <c r="L12">
        <v>0.54339999999999999</v>
      </c>
      <c r="M12">
        <v>0.63639999999999997</v>
      </c>
      <c r="N12">
        <v>0.89429999999999998</v>
      </c>
      <c r="O12">
        <v>0</v>
      </c>
      <c r="P12">
        <v>0.45760000000000001</v>
      </c>
      <c r="Q12">
        <v>1</v>
      </c>
      <c r="R12">
        <v>1.9459</v>
      </c>
      <c r="S12">
        <v>0.80879999999999996</v>
      </c>
      <c r="T12">
        <v>0.48</v>
      </c>
      <c r="U12">
        <v>-7.8322000000000003</v>
      </c>
      <c r="V12">
        <v>2.9417</v>
      </c>
      <c r="W12">
        <v>0</v>
      </c>
      <c r="X12">
        <v>0.56620000000000004</v>
      </c>
      <c r="Y12">
        <v>0.2979</v>
      </c>
      <c r="Z12">
        <v>0.1191</v>
      </c>
      <c r="AA12">
        <v>8.3000000000000004E-2</v>
      </c>
      <c r="AB12">
        <v>0.75480000000000003</v>
      </c>
      <c r="AC12">
        <v>0.63859999999999995</v>
      </c>
      <c r="AD12">
        <v>0.87709999999999999</v>
      </c>
    </row>
    <row r="13" spans="1:30" x14ac:dyDescent="0.35">
      <c r="A13">
        <v>2</v>
      </c>
      <c r="B13" t="s">
        <v>112</v>
      </c>
      <c r="C13" cm="1">
        <f t="array" ref="C13">SUM(VALUE('Survey A'!AO3:AO7))</f>
        <v>16</v>
      </c>
      <c r="D13" cm="1">
        <f t="array" ref="D13">SUM(VALUE('Survey A'!AP3:AP7))</f>
        <v>13</v>
      </c>
      <c r="E13">
        <f>COUNT('Survey A'!F:F)</f>
        <v>5</v>
      </c>
      <c r="F13" t="s">
        <v>113</v>
      </c>
      <c r="G13">
        <f t="shared" si="1"/>
        <v>3.2</v>
      </c>
      <c r="H13">
        <f t="shared" si="2"/>
        <v>2.6</v>
      </c>
      <c r="I13">
        <f t="shared" si="0"/>
        <v>0</v>
      </c>
      <c r="J13">
        <f t="shared" si="3"/>
        <v>0</v>
      </c>
      <c r="K13">
        <v>1.4077999999999999</v>
      </c>
      <c r="L13">
        <v>0.83660000000000001</v>
      </c>
      <c r="M13">
        <v>0.54410000000000003</v>
      </c>
      <c r="N13">
        <v>1.3906000000000001</v>
      </c>
      <c r="O13">
        <v>0</v>
      </c>
      <c r="P13">
        <v>0.31879999999999997</v>
      </c>
      <c r="Q13">
        <v>1</v>
      </c>
      <c r="R13">
        <v>2.4849000000000001</v>
      </c>
      <c r="S13">
        <v>0.80579999999999996</v>
      </c>
      <c r="T13">
        <v>0.88449999999999995</v>
      </c>
      <c r="U13">
        <v>-5.6353</v>
      </c>
      <c r="V13">
        <v>1.8909</v>
      </c>
      <c r="W13">
        <v>1</v>
      </c>
      <c r="X13">
        <v>0.52910000000000001</v>
      </c>
      <c r="Y13">
        <v>0.69879999999999998</v>
      </c>
      <c r="Z13">
        <v>0.13689999999999999</v>
      </c>
      <c r="AA13">
        <v>4.8599999999999997E-2</v>
      </c>
      <c r="AB13">
        <v>0.87929999999999997</v>
      </c>
      <c r="AC13">
        <v>0.92290000000000005</v>
      </c>
      <c r="AD13">
        <v>0.92520000000000002</v>
      </c>
    </row>
    <row r="14" spans="1:30" x14ac:dyDescent="0.35">
      <c r="A14">
        <v>3</v>
      </c>
      <c r="B14" t="s">
        <v>107</v>
      </c>
      <c r="C14" s="7" cm="1">
        <f t="array" ref="C14">SUM(VALUE('Survey B'!F$3:F$100))</f>
        <v>12</v>
      </c>
      <c r="D14" s="7" cm="1">
        <f t="array" ref="D14">SUM(VALUE('Survey B'!G$3:G$100))</f>
        <v>18</v>
      </c>
      <c r="E14">
        <f>COUNTA('Survey B'!$F$3:$F$100)</f>
        <v>5</v>
      </c>
      <c r="F14">
        <v>1</v>
      </c>
      <c r="G14">
        <f t="shared" si="1"/>
        <v>2.4</v>
      </c>
      <c r="H14">
        <f t="shared" si="2"/>
        <v>3.6</v>
      </c>
      <c r="I14">
        <f t="shared" si="0"/>
        <v>0</v>
      </c>
      <c r="J14">
        <f t="shared" si="3"/>
        <v>0</v>
      </c>
      <c r="K14">
        <v>0.4869</v>
      </c>
      <c r="L14">
        <v>1.4194</v>
      </c>
      <c r="M14">
        <v>0.26650000000000001</v>
      </c>
      <c r="N14">
        <v>0.80320000000000003</v>
      </c>
      <c r="O14">
        <v>1</v>
      </c>
      <c r="P14">
        <v>0.439</v>
      </c>
      <c r="Q14">
        <v>0.73329999999999995</v>
      </c>
      <c r="R14">
        <v>2.3933</v>
      </c>
      <c r="S14">
        <v>0.87119999999999997</v>
      </c>
      <c r="T14">
        <v>1.0828</v>
      </c>
      <c r="U14">
        <v>-4.6790000000000003</v>
      </c>
      <c r="V14">
        <v>4.3777999999999997</v>
      </c>
      <c r="W14">
        <v>0</v>
      </c>
      <c r="X14">
        <v>0.9607</v>
      </c>
      <c r="Y14">
        <v>1.0412999999999999</v>
      </c>
      <c r="Z14">
        <v>1.2200000000000001E-2</v>
      </c>
      <c r="AA14">
        <v>4.7600000000000003E-2</v>
      </c>
      <c r="AB14">
        <v>0.86619999999999997</v>
      </c>
      <c r="AC14">
        <v>0.88249999999999995</v>
      </c>
      <c r="AD14">
        <v>0.88219999999999998</v>
      </c>
    </row>
    <row r="15" spans="1:30" x14ac:dyDescent="0.35">
      <c r="A15">
        <v>3</v>
      </c>
      <c r="B15" t="s">
        <v>108</v>
      </c>
      <c r="C15" cm="1">
        <f t="array" ref="C15">SUM(VALUE('Survey B'!I$3:I$100))</f>
        <v>17</v>
      </c>
      <c r="D15" cm="1">
        <f t="array" ref="D15">SUM(VALUE('Survey B'!J$3:J$100))</f>
        <v>20</v>
      </c>
      <c r="E15">
        <f>COUNTA('Survey B'!$F$3:$F$100)</f>
        <v>5</v>
      </c>
      <c r="F15">
        <v>0</v>
      </c>
      <c r="G15">
        <f t="shared" si="1"/>
        <v>3.4</v>
      </c>
      <c r="H15">
        <f t="shared" si="2"/>
        <v>4</v>
      </c>
      <c r="I15">
        <f t="shared" si="0"/>
        <v>0</v>
      </c>
      <c r="J15">
        <f t="shared" si="3"/>
        <v>1</v>
      </c>
      <c r="K15">
        <v>0.48670000000000002</v>
      </c>
      <c r="L15">
        <v>0.38479999999999998</v>
      </c>
      <c r="M15">
        <v>1.0565</v>
      </c>
      <c r="N15">
        <v>0.75160000000000005</v>
      </c>
      <c r="O15">
        <v>0</v>
      </c>
      <c r="P15">
        <v>0.37209999999999999</v>
      </c>
      <c r="Q15">
        <v>0.5333</v>
      </c>
      <c r="R15">
        <v>1.7541</v>
      </c>
      <c r="S15">
        <v>0.5988</v>
      </c>
      <c r="T15">
        <v>0.80830000000000002</v>
      </c>
      <c r="U15">
        <v>-4.2099000000000002</v>
      </c>
      <c r="V15">
        <v>2.4643000000000002</v>
      </c>
      <c r="W15">
        <v>1</v>
      </c>
      <c r="X15">
        <v>1.1863999999999999</v>
      </c>
      <c r="Y15">
        <v>1.0999000000000001</v>
      </c>
      <c r="Z15">
        <v>2.1600000000000001E-2</v>
      </c>
      <c r="AA15">
        <v>5.8400000000000001E-2</v>
      </c>
      <c r="AB15">
        <v>0.85760000000000003</v>
      </c>
      <c r="AC15">
        <v>0.85609999999999997</v>
      </c>
      <c r="AD15">
        <v>0.86219999999999997</v>
      </c>
    </row>
    <row r="16" spans="1:30" x14ac:dyDescent="0.35">
      <c r="A16">
        <v>3</v>
      </c>
      <c r="B16" t="s">
        <v>109</v>
      </c>
      <c r="C16" cm="1">
        <f t="array" ref="C16">SUM(VALUE('Survey B'!L$3:L$100))</f>
        <v>8</v>
      </c>
      <c r="D16" cm="1">
        <f t="array" ref="D16">SUM(VALUE('Survey B'!M$3:M$100))</f>
        <v>8</v>
      </c>
      <c r="E16">
        <f>COUNTA('Survey B'!$F$3:$F$100)</f>
        <v>5</v>
      </c>
      <c r="F16">
        <v>3</v>
      </c>
      <c r="G16">
        <f t="shared" si="1"/>
        <v>1.6</v>
      </c>
      <c r="H16">
        <f t="shared" si="2"/>
        <v>1.6</v>
      </c>
      <c r="I16">
        <f t="shared" si="0"/>
        <v>1</v>
      </c>
      <c r="J16">
        <f t="shared" si="3"/>
        <v>0</v>
      </c>
      <c r="K16">
        <v>1.9007000000000001</v>
      </c>
      <c r="L16">
        <v>1.0449999999999999</v>
      </c>
      <c r="M16">
        <v>1.1892</v>
      </c>
      <c r="N16">
        <v>0.57620000000000005</v>
      </c>
      <c r="O16">
        <v>0</v>
      </c>
      <c r="P16">
        <v>0.57379999999999998</v>
      </c>
      <c r="Q16">
        <v>1</v>
      </c>
      <c r="R16">
        <v>1.0986</v>
      </c>
      <c r="S16">
        <v>0.50790000000000002</v>
      </c>
      <c r="T16">
        <v>0.14330000000000001</v>
      </c>
      <c r="U16">
        <v>-5.6592000000000002</v>
      </c>
      <c r="V16">
        <v>1.375</v>
      </c>
      <c r="W16">
        <v>0</v>
      </c>
      <c r="X16">
        <v>1.3218000000000001</v>
      </c>
      <c r="Y16">
        <v>0.60319999999999996</v>
      </c>
      <c r="Z16">
        <v>0.1114</v>
      </c>
      <c r="AA16">
        <v>7.5999999999999998E-2</v>
      </c>
      <c r="AB16">
        <v>0.5655</v>
      </c>
      <c r="AC16">
        <v>0.64</v>
      </c>
      <c r="AD16">
        <v>0.86339999999999995</v>
      </c>
    </row>
    <row r="17" spans="1:30" x14ac:dyDescent="0.35">
      <c r="A17">
        <v>3</v>
      </c>
      <c r="B17" t="s">
        <v>110</v>
      </c>
      <c r="C17" cm="1">
        <f t="array" ref="C17">SUM(VALUE('Survey B'!O$3:O$100))</f>
        <v>13</v>
      </c>
      <c r="D17" cm="1">
        <f t="array" ref="D17">SUM(VALUE('Survey B'!P$3:P$100))</f>
        <v>11</v>
      </c>
      <c r="E17">
        <f>COUNTA('Survey B'!$F$3:$F$100)</f>
        <v>5</v>
      </c>
      <c r="F17">
        <v>1</v>
      </c>
      <c r="G17">
        <f t="shared" si="1"/>
        <v>2.6</v>
      </c>
      <c r="H17">
        <f t="shared" si="2"/>
        <v>2.2000000000000002</v>
      </c>
      <c r="I17">
        <f t="shared" si="0"/>
        <v>1</v>
      </c>
      <c r="J17">
        <f t="shared" si="3"/>
        <v>0</v>
      </c>
      <c r="K17">
        <v>0.97340000000000004</v>
      </c>
      <c r="L17">
        <v>0.92090000000000005</v>
      </c>
      <c r="M17">
        <v>0.69089999999999996</v>
      </c>
      <c r="N17">
        <v>1.5780000000000001</v>
      </c>
      <c r="O17">
        <v>0</v>
      </c>
      <c r="P17">
        <v>0.1714</v>
      </c>
      <c r="Q17">
        <v>0.95</v>
      </c>
      <c r="R17">
        <v>2.5326</v>
      </c>
      <c r="S17">
        <v>0.62</v>
      </c>
      <c r="T17">
        <v>1.633</v>
      </c>
      <c r="U17">
        <v>-5.1368999999999998</v>
      </c>
      <c r="V17">
        <v>2.8466999999999998</v>
      </c>
      <c r="W17">
        <v>0</v>
      </c>
      <c r="X17">
        <v>0.6946</v>
      </c>
      <c r="Y17">
        <v>1.5147999999999999</v>
      </c>
      <c r="Z17">
        <v>1.0500000000000001E-2</v>
      </c>
      <c r="AA17">
        <v>4.6899999999999997E-2</v>
      </c>
      <c r="AB17">
        <v>0.81689999999999996</v>
      </c>
      <c r="AC17">
        <v>0.89170000000000005</v>
      </c>
      <c r="AD17">
        <v>0.8629</v>
      </c>
    </row>
    <row r="18" spans="1:30" x14ac:dyDescent="0.35">
      <c r="A18">
        <v>3</v>
      </c>
      <c r="B18" t="s">
        <v>111</v>
      </c>
      <c r="C18" cm="1">
        <f t="array" ref="C18">SUM(VALUE('Survey B'!R$3:R100))</f>
        <v>12</v>
      </c>
      <c r="D18" cm="1">
        <f t="array" ref="D18">SUM(VALUE('Survey B'!S$3:S100))</f>
        <v>17</v>
      </c>
      <c r="E18">
        <f>COUNTA('Survey B'!$F$3:$F$100)</f>
        <v>5</v>
      </c>
      <c r="F18">
        <v>0</v>
      </c>
      <c r="G18">
        <f t="shared" si="1"/>
        <v>2.4</v>
      </c>
      <c r="H18">
        <f t="shared" si="2"/>
        <v>3.4</v>
      </c>
      <c r="I18">
        <f t="shared" si="0"/>
        <v>0</v>
      </c>
      <c r="J18">
        <f t="shared" si="3"/>
        <v>0</v>
      </c>
      <c r="K18">
        <v>1.1154999999999999</v>
      </c>
      <c r="L18">
        <v>0.54079999999999995</v>
      </c>
      <c r="M18">
        <v>0.61680000000000001</v>
      </c>
      <c r="N18">
        <v>0.4788</v>
      </c>
      <c r="O18">
        <v>0</v>
      </c>
      <c r="P18">
        <v>0.39529999999999998</v>
      </c>
      <c r="Q18">
        <v>1</v>
      </c>
      <c r="R18">
        <v>1.9061999999999999</v>
      </c>
      <c r="S18">
        <v>0.74460000000000004</v>
      </c>
      <c r="T18">
        <v>0.70669999999999999</v>
      </c>
      <c r="U18">
        <v>-4.2584999999999997</v>
      </c>
      <c r="V18">
        <v>6.6547999999999998</v>
      </c>
      <c r="W18">
        <v>0</v>
      </c>
      <c r="X18">
        <v>0.9365</v>
      </c>
      <c r="Y18">
        <v>1.0119</v>
      </c>
      <c r="Z18">
        <v>3.5299999999999998E-2</v>
      </c>
      <c r="AA18">
        <v>9.9000000000000008E-3</v>
      </c>
      <c r="AB18">
        <v>0.86709999999999998</v>
      </c>
      <c r="AC18">
        <v>0.86719999999999997</v>
      </c>
      <c r="AD18">
        <v>0.87360000000000004</v>
      </c>
    </row>
    <row r="19" spans="1:30" x14ac:dyDescent="0.35">
      <c r="A19">
        <v>3</v>
      </c>
      <c r="B19" t="s">
        <v>112</v>
      </c>
      <c r="C19" cm="1">
        <f t="array" ref="C19">SUM(VALUE('Survey B'!V$3:V$100))</f>
        <v>10</v>
      </c>
      <c r="D19" cm="1">
        <f t="array" ref="D19">SUM(VALUE('Survey B'!W$3:W$100))</f>
        <v>10</v>
      </c>
      <c r="E19">
        <f>COUNTA('Survey B'!$F$3:$F$100)</f>
        <v>5</v>
      </c>
      <c r="F19" t="s">
        <v>113</v>
      </c>
      <c r="G19">
        <f t="shared" si="1"/>
        <v>2</v>
      </c>
      <c r="H19">
        <f t="shared" si="2"/>
        <v>2</v>
      </c>
      <c r="I19">
        <f t="shared" si="0"/>
        <v>1</v>
      </c>
      <c r="J19">
        <f t="shared" si="3"/>
        <v>0</v>
      </c>
      <c r="K19">
        <v>0.59619999999999995</v>
      </c>
      <c r="L19">
        <v>0</v>
      </c>
      <c r="M19">
        <v>0.74539999999999995</v>
      </c>
      <c r="N19">
        <v>1.7676000000000001</v>
      </c>
      <c r="O19">
        <v>1</v>
      </c>
      <c r="P19">
        <v>4.4400000000000002E-2</v>
      </c>
      <c r="Q19">
        <v>0.93330000000000002</v>
      </c>
      <c r="R19">
        <v>2.274</v>
      </c>
      <c r="S19">
        <v>0.73770000000000002</v>
      </c>
      <c r="T19">
        <v>1.2579</v>
      </c>
      <c r="U19">
        <v>-4.258</v>
      </c>
      <c r="V19">
        <v>4.6632999999999996</v>
      </c>
      <c r="W19">
        <v>0</v>
      </c>
      <c r="X19">
        <v>0.50029999999999997</v>
      </c>
      <c r="Y19">
        <v>1.6851</v>
      </c>
      <c r="Z19">
        <v>2.1299999999999999E-2</v>
      </c>
      <c r="AA19">
        <v>5.8099999999999999E-2</v>
      </c>
      <c r="AB19">
        <v>0.83379999999999999</v>
      </c>
      <c r="AC19">
        <v>0.85699999999999998</v>
      </c>
      <c r="AD19">
        <v>0.83030000000000004</v>
      </c>
    </row>
    <row r="20" spans="1:30" x14ac:dyDescent="0.35">
      <c r="A20">
        <v>4</v>
      </c>
      <c r="B20" t="s">
        <v>107</v>
      </c>
      <c r="C20" cm="1">
        <f t="array" ref="C20">SUM(VALUE('Survey B'!AK$3:AK$100))</f>
        <v>15</v>
      </c>
      <c r="D20" cm="1">
        <f t="array" ref="D20">SUM(VALUE('Survey B'!AL$3:AL$100))</f>
        <v>17</v>
      </c>
      <c r="E20">
        <f>COUNTA('Survey B'!$F$3:$F$100)</f>
        <v>5</v>
      </c>
      <c r="F20">
        <v>0</v>
      </c>
      <c r="G20">
        <f t="shared" si="1"/>
        <v>3</v>
      </c>
      <c r="H20">
        <f t="shared" si="2"/>
        <v>3.4</v>
      </c>
      <c r="I20">
        <f t="shared" si="0"/>
        <v>0</v>
      </c>
      <c r="J20">
        <f t="shared" si="3"/>
        <v>0</v>
      </c>
      <c r="K20">
        <v>1.7886</v>
      </c>
      <c r="L20">
        <v>1.1154999999999999</v>
      </c>
      <c r="M20">
        <v>0.13700000000000001</v>
      </c>
      <c r="N20">
        <v>0.34620000000000001</v>
      </c>
      <c r="O20">
        <v>0</v>
      </c>
      <c r="P20">
        <v>0.29730000000000001</v>
      </c>
      <c r="Q20">
        <v>1</v>
      </c>
      <c r="R20">
        <v>2.5992999999999999</v>
      </c>
      <c r="S20">
        <v>0.77280000000000004</v>
      </c>
      <c r="T20">
        <v>1.5808</v>
      </c>
      <c r="U20">
        <v>-3.7524999999999999</v>
      </c>
      <c r="V20">
        <v>3.2166999999999999</v>
      </c>
      <c r="W20">
        <v>1</v>
      </c>
      <c r="X20">
        <v>0.28920000000000001</v>
      </c>
      <c r="Y20">
        <v>0.3049</v>
      </c>
      <c r="Z20">
        <v>5.1400000000000001E-2</v>
      </c>
      <c r="AA20">
        <v>6.6400000000000001E-2</v>
      </c>
      <c r="AB20">
        <v>0.88900000000000001</v>
      </c>
      <c r="AC20">
        <v>0.91400000000000003</v>
      </c>
      <c r="AD20">
        <v>0.86909999999999998</v>
      </c>
    </row>
    <row r="21" spans="1:30" x14ac:dyDescent="0.35">
      <c r="A21">
        <v>4</v>
      </c>
      <c r="B21" t="s">
        <v>108</v>
      </c>
      <c r="C21" cm="1">
        <f t="array" ref="C21">SUM(VALUE('Survey B'!AB$3:AB$100))</f>
        <v>12</v>
      </c>
      <c r="D21" cm="1">
        <f t="array" ref="D21">SUM(VALUE('Survey B'!AC$3:AC$100))</f>
        <v>20</v>
      </c>
      <c r="E21">
        <f>COUNTA('Survey B'!$F$3:$F$100)</f>
        <v>5</v>
      </c>
      <c r="F21">
        <v>0</v>
      </c>
      <c r="G21">
        <f t="shared" si="1"/>
        <v>2.4</v>
      </c>
      <c r="H21">
        <f t="shared" si="2"/>
        <v>4</v>
      </c>
      <c r="I21">
        <f t="shared" si="0"/>
        <v>0</v>
      </c>
      <c r="J21">
        <f t="shared" si="3"/>
        <v>0</v>
      </c>
      <c r="K21">
        <v>1.7886</v>
      </c>
      <c r="L21">
        <v>0.38479999999999998</v>
      </c>
      <c r="M21">
        <v>0.72870000000000001</v>
      </c>
      <c r="N21">
        <v>0.47910000000000003</v>
      </c>
      <c r="O21">
        <v>2</v>
      </c>
      <c r="P21">
        <v>0.33329999999999999</v>
      </c>
      <c r="Q21">
        <v>1</v>
      </c>
      <c r="R21">
        <v>2.2719</v>
      </c>
      <c r="S21">
        <v>1.2406999999999999</v>
      </c>
      <c r="T21">
        <v>1.1386000000000001</v>
      </c>
      <c r="U21">
        <v>-4.1699000000000002</v>
      </c>
      <c r="V21">
        <v>4.6666999999999996</v>
      </c>
      <c r="W21">
        <v>1</v>
      </c>
      <c r="X21">
        <v>0.62609999999999999</v>
      </c>
      <c r="Y21">
        <v>0.16830000000000001</v>
      </c>
      <c r="Z21">
        <v>4.4499999999999998E-2</v>
      </c>
      <c r="AA21">
        <v>6.2700000000000006E-2</v>
      </c>
      <c r="AB21">
        <v>0.90510000000000002</v>
      </c>
      <c r="AC21">
        <v>0.93730000000000002</v>
      </c>
      <c r="AD21">
        <v>0.86560000000000004</v>
      </c>
    </row>
    <row r="22" spans="1:30" x14ac:dyDescent="0.35">
      <c r="A22">
        <v>4</v>
      </c>
      <c r="B22" t="s">
        <v>109</v>
      </c>
      <c r="C22" cm="1">
        <f t="array" ref="C22">SUM(VALUE('Survey B'!AE$3:AE$100))</f>
        <v>11</v>
      </c>
      <c r="D22" cm="1">
        <f t="array" ref="D22">SUM(VALUE('Survey B'!AF$3:AF$100))</f>
        <v>11</v>
      </c>
      <c r="E22">
        <f>COUNTA('Survey B'!$F$3:$F$100)</f>
        <v>5</v>
      </c>
      <c r="F22">
        <v>0</v>
      </c>
      <c r="G22">
        <f t="shared" si="1"/>
        <v>2.2000000000000002</v>
      </c>
      <c r="H22">
        <f t="shared" si="2"/>
        <v>2.2000000000000002</v>
      </c>
      <c r="I22">
        <f t="shared" si="0"/>
        <v>1</v>
      </c>
      <c r="J22">
        <f t="shared" si="3"/>
        <v>0</v>
      </c>
      <c r="K22">
        <v>1.7886</v>
      </c>
      <c r="L22">
        <v>1.1154999999999999</v>
      </c>
      <c r="M22">
        <v>0.6613</v>
      </c>
      <c r="N22">
        <v>0.4597</v>
      </c>
      <c r="O22">
        <v>0</v>
      </c>
      <c r="P22">
        <v>0.2394</v>
      </c>
      <c r="Q22">
        <v>1</v>
      </c>
      <c r="R22">
        <v>2.6156000000000001</v>
      </c>
      <c r="S22">
        <v>1.2014</v>
      </c>
      <c r="T22">
        <v>1.621</v>
      </c>
      <c r="U22">
        <v>-4.9695999999999998</v>
      </c>
      <c r="V22">
        <v>3.5762</v>
      </c>
      <c r="W22">
        <v>1</v>
      </c>
      <c r="X22">
        <v>0.26779999999999998</v>
      </c>
      <c r="Y22">
        <v>0.34820000000000001</v>
      </c>
      <c r="Z22">
        <v>4.6399999999999997E-2</v>
      </c>
      <c r="AA22">
        <v>6.54E-2</v>
      </c>
      <c r="AB22">
        <v>0.93600000000000005</v>
      </c>
      <c r="AC22">
        <v>0.89680000000000004</v>
      </c>
      <c r="AD22">
        <v>0.8659</v>
      </c>
    </row>
    <row r="23" spans="1:30" x14ac:dyDescent="0.35">
      <c r="A23">
        <v>4</v>
      </c>
      <c r="B23" t="s">
        <v>110</v>
      </c>
      <c r="C23" cm="1">
        <f t="array" ref="C23">SUM(VALUE('Survey B'!AH$3:AH$100))</f>
        <v>9</v>
      </c>
      <c r="D23" cm="1">
        <f t="array" ref="D23">SUM(VALUE('Survey B'!AI$3:AI$100))</f>
        <v>7</v>
      </c>
      <c r="E23">
        <f>COUNTA('Survey B'!$F$3:$F$100)</f>
        <v>5</v>
      </c>
      <c r="F23">
        <v>3</v>
      </c>
      <c r="G23">
        <f t="shared" si="1"/>
        <v>1.8</v>
      </c>
      <c r="H23">
        <f t="shared" si="2"/>
        <v>1.4</v>
      </c>
      <c r="I23">
        <f t="shared" si="0"/>
        <v>1</v>
      </c>
      <c r="J23">
        <f t="shared" si="3"/>
        <v>0</v>
      </c>
      <c r="K23">
        <v>2.9658000000000002</v>
      </c>
      <c r="L23">
        <v>0.38479999999999998</v>
      </c>
      <c r="M23">
        <v>0.64610000000000001</v>
      </c>
      <c r="N23">
        <v>0.37159999999999999</v>
      </c>
      <c r="O23">
        <v>1</v>
      </c>
      <c r="P23">
        <v>0.19719999999999999</v>
      </c>
      <c r="Q23">
        <v>1</v>
      </c>
      <c r="R23">
        <v>2.3517000000000001</v>
      </c>
      <c r="S23">
        <v>0.88270000000000004</v>
      </c>
      <c r="T23">
        <v>1.3792</v>
      </c>
      <c r="U23">
        <v>-6.5259999999999998</v>
      </c>
      <c r="V23">
        <v>4.3930999999999996</v>
      </c>
      <c r="W23">
        <v>1</v>
      </c>
      <c r="X23">
        <v>0.57909999999999995</v>
      </c>
      <c r="Y23">
        <v>0.39439999999999997</v>
      </c>
      <c r="Z23">
        <v>7.7399999999999997E-2</v>
      </c>
      <c r="AA23">
        <v>3.5299999999999998E-2</v>
      </c>
      <c r="AB23">
        <v>0.83209999999999995</v>
      </c>
      <c r="AC23">
        <v>0.90769999999999995</v>
      </c>
      <c r="AD23">
        <v>0.8669</v>
      </c>
    </row>
    <row r="24" spans="1:30" x14ac:dyDescent="0.35">
      <c r="A24">
        <v>4</v>
      </c>
      <c r="B24" t="s">
        <v>111</v>
      </c>
      <c r="C24" cm="1">
        <f t="array" ref="C24">SUM(VALUE('Survey B'!Y$3:Y$100))</f>
        <v>9</v>
      </c>
      <c r="D24" cm="1">
        <f t="array" ref="D24">SUM(VALUE('Survey B'!Z$3:Z$100))</f>
        <v>10</v>
      </c>
      <c r="E24">
        <f>COUNTA('Survey B'!$F$3:$F$100)</f>
        <v>5</v>
      </c>
      <c r="F24">
        <v>2</v>
      </c>
      <c r="G24">
        <f t="shared" si="1"/>
        <v>1.8</v>
      </c>
      <c r="H24">
        <f t="shared" si="2"/>
        <v>2</v>
      </c>
      <c r="I24">
        <f t="shared" si="0"/>
        <v>1</v>
      </c>
      <c r="J24">
        <f t="shared" si="3"/>
        <v>0</v>
      </c>
      <c r="K24">
        <v>1.7886</v>
      </c>
      <c r="L24">
        <v>1.0741000000000001</v>
      </c>
      <c r="M24">
        <v>0.77010000000000001</v>
      </c>
      <c r="N24">
        <v>0.37580000000000002</v>
      </c>
      <c r="O24">
        <v>0</v>
      </c>
      <c r="P24">
        <v>0.4627</v>
      </c>
      <c r="Q24">
        <v>0.91669999999999996</v>
      </c>
      <c r="R24">
        <v>2.3113999999999999</v>
      </c>
      <c r="S24">
        <v>0.68979999999999997</v>
      </c>
      <c r="T24">
        <v>1.3858999999999999</v>
      </c>
      <c r="U24">
        <v>-5.4372999999999996</v>
      </c>
      <c r="V24">
        <v>5.3097000000000003</v>
      </c>
      <c r="W24">
        <v>1</v>
      </c>
      <c r="X24">
        <v>0.31790000000000002</v>
      </c>
      <c r="Y24">
        <v>0.27400000000000002</v>
      </c>
      <c r="Z24">
        <v>1.6500000000000001E-2</v>
      </c>
      <c r="AA24">
        <v>9.2399999999999996E-2</v>
      </c>
      <c r="AB24">
        <v>0.90490000000000004</v>
      </c>
      <c r="AC24">
        <v>0.92330000000000001</v>
      </c>
      <c r="AD24">
        <v>0.8659</v>
      </c>
    </row>
    <row r="25" spans="1:30" x14ac:dyDescent="0.35">
      <c r="A25">
        <v>4</v>
      </c>
      <c r="B25" t="s">
        <v>112</v>
      </c>
      <c r="C25" cm="1">
        <f t="array" ref="C25">SUM(VALUE('Survey B'!AO$3:AO$100))</f>
        <v>7</v>
      </c>
      <c r="D25" cm="1">
        <f t="array" ref="D25">SUM(VALUE('Survey B'!AP$3:AP$100))</f>
        <v>6</v>
      </c>
      <c r="E25">
        <f>COUNTA('Survey B'!$F$3:$F$100)</f>
        <v>5</v>
      </c>
      <c r="F25" t="s">
        <v>113</v>
      </c>
      <c r="G25">
        <f t="shared" si="1"/>
        <v>1.4</v>
      </c>
      <c r="H25">
        <f t="shared" si="2"/>
        <v>1.2</v>
      </c>
    </row>
    <row r="26" spans="1:30" x14ac:dyDescent="0.35">
      <c r="A26">
        <v>5</v>
      </c>
      <c r="B26" t="s">
        <v>107</v>
      </c>
      <c r="C26" s="7" cm="1">
        <f t="array" ref="C26">SUM(VALUE('Survey C'!F$3:F$100))</f>
        <v>13</v>
      </c>
      <c r="D26" s="7" cm="1">
        <f t="array" ref="D26">SUM(VALUE('Survey C'!G$3:G$100))</f>
        <v>14</v>
      </c>
      <c r="E26">
        <f>COUNTA('Survey C'!$F$3:$F$100)</f>
        <v>5</v>
      </c>
      <c r="F26">
        <v>1</v>
      </c>
      <c r="G26">
        <f t="shared" si="1"/>
        <v>2.6</v>
      </c>
      <c r="H26">
        <f t="shared" si="2"/>
        <v>2.8</v>
      </c>
      <c r="I26">
        <f t="shared" ref="I26:I61" si="4">IF(AVERAGE(G26:H26)&lt;=2.75, 1, 0)</f>
        <v>1</v>
      </c>
      <c r="J26">
        <f t="shared" si="3"/>
        <v>0</v>
      </c>
      <c r="K26">
        <v>2.0326</v>
      </c>
      <c r="L26">
        <v>1.5915999999999999</v>
      </c>
      <c r="M26">
        <v>0.63819999999999999</v>
      </c>
      <c r="N26">
        <v>0.38419999999999999</v>
      </c>
      <c r="O26">
        <v>0</v>
      </c>
      <c r="P26">
        <v>0.32140000000000002</v>
      </c>
      <c r="Q26">
        <v>1</v>
      </c>
      <c r="R26">
        <v>2.1972</v>
      </c>
      <c r="S26">
        <v>0.87360000000000004</v>
      </c>
      <c r="T26">
        <v>0.83489999999999998</v>
      </c>
      <c r="U26">
        <v>-4.6173999999999999</v>
      </c>
      <c r="V26">
        <v>5.8437999999999999</v>
      </c>
      <c r="W26">
        <v>1</v>
      </c>
      <c r="X26">
        <v>0.74850000000000005</v>
      </c>
      <c r="Y26">
        <v>0.58389999999999997</v>
      </c>
      <c r="Z26">
        <v>1.5E-3</v>
      </c>
      <c r="AA26">
        <v>1E-4</v>
      </c>
      <c r="AB26">
        <v>0.93149999999999999</v>
      </c>
      <c r="AC26">
        <v>0.93440000000000001</v>
      </c>
      <c r="AD26">
        <v>0.96240000000000003</v>
      </c>
    </row>
    <row r="27" spans="1:30" x14ac:dyDescent="0.35">
      <c r="A27">
        <v>5</v>
      </c>
      <c r="B27" t="s">
        <v>108</v>
      </c>
      <c r="C27" cm="1">
        <f t="array" ref="C27">SUM(VALUE('Survey C'!I$3:I$100))</f>
        <v>19</v>
      </c>
      <c r="D27" cm="1">
        <f t="array" ref="D27">SUM(VALUE('Survey C'!J$3:J$100))</f>
        <v>18</v>
      </c>
      <c r="E27">
        <f>COUNTA('Survey C'!$F$3:$F$100)</f>
        <v>5</v>
      </c>
      <c r="F27">
        <v>0</v>
      </c>
      <c r="G27">
        <f t="shared" si="1"/>
        <v>3.8</v>
      </c>
      <c r="H27">
        <f t="shared" si="2"/>
        <v>3.6</v>
      </c>
      <c r="I27">
        <f t="shared" si="4"/>
        <v>0</v>
      </c>
      <c r="J27">
        <f t="shared" si="3"/>
        <v>1</v>
      </c>
      <c r="K27">
        <v>0.89429999999999998</v>
      </c>
      <c r="L27">
        <v>1.0645</v>
      </c>
      <c r="M27">
        <v>0.29330000000000001</v>
      </c>
      <c r="N27">
        <v>0.59099999999999997</v>
      </c>
      <c r="O27">
        <v>0</v>
      </c>
      <c r="P27">
        <v>0.25640000000000002</v>
      </c>
      <c r="Q27">
        <v>0.9</v>
      </c>
      <c r="R27">
        <v>2.1457999999999999</v>
      </c>
      <c r="S27">
        <v>0.70189999999999997</v>
      </c>
      <c r="T27">
        <v>1.33</v>
      </c>
      <c r="U27">
        <v>-4.2249999999999996</v>
      </c>
      <c r="V27">
        <v>3.9</v>
      </c>
      <c r="W27">
        <v>1</v>
      </c>
      <c r="X27">
        <v>0.45440000000000003</v>
      </c>
      <c r="Y27">
        <v>0.72550000000000003</v>
      </c>
      <c r="Z27">
        <v>6.4000000000000003E-3</v>
      </c>
      <c r="AA27">
        <v>7.7999999999999996E-3</v>
      </c>
      <c r="AB27">
        <v>0.94320000000000004</v>
      </c>
      <c r="AC27">
        <v>0.93889999999999996</v>
      </c>
      <c r="AD27">
        <v>0.9718</v>
      </c>
    </row>
    <row r="28" spans="1:30" x14ac:dyDescent="0.35">
      <c r="A28">
        <v>5</v>
      </c>
      <c r="B28" t="s">
        <v>109</v>
      </c>
      <c r="C28" cm="1">
        <f t="array" ref="C28">SUM(VALUE('Survey C'!L$3:L$100))</f>
        <v>15</v>
      </c>
      <c r="D28" cm="1">
        <f t="array" ref="D28">SUM(VALUE('Survey C'!M$3:M$100))</f>
        <v>15</v>
      </c>
      <c r="E28">
        <f>COUNTA('Survey C'!$F$3:$F$100)</f>
        <v>5</v>
      </c>
      <c r="F28">
        <v>1</v>
      </c>
      <c r="G28">
        <f t="shared" si="1"/>
        <v>3</v>
      </c>
      <c r="H28">
        <f t="shared" si="2"/>
        <v>3</v>
      </c>
      <c r="I28">
        <f t="shared" si="4"/>
        <v>0</v>
      </c>
      <c r="J28">
        <f t="shared" si="3"/>
        <v>0</v>
      </c>
      <c r="K28">
        <v>1.1544000000000001</v>
      </c>
      <c r="L28">
        <v>1.46</v>
      </c>
      <c r="M28">
        <v>0.4143</v>
      </c>
      <c r="N28">
        <v>0.80110000000000003</v>
      </c>
      <c r="O28">
        <v>0</v>
      </c>
      <c r="P28">
        <v>0.1928</v>
      </c>
      <c r="Q28">
        <v>0.92859999999999998</v>
      </c>
      <c r="R28">
        <v>2.4308000000000001</v>
      </c>
      <c r="S28">
        <v>0.5302</v>
      </c>
      <c r="T28">
        <v>1.6341000000000001</v>
      </c>
      <c r="U28">
        <v>-4.6471</v>
      </c>
      <c r="V28">
        <v>4.8213999999999997</v>
      </c>
      <c r="W28">
        <v>1</v>
      </c>
      <c r="X28">
        <v>0.50639999999999996</v>
      </c>
      <c r="Y28">
        <v>0.87360000000000004</v>
      </c>
      <c r="Z28">
        <v>1.6999999999999999E-3</v>
      </c>
      <c r="AA28">
        <v>2.9999999999999997E-4</v>
      </c>
      <c r="AB28">
        <v>0.95230000000000004</v>
      </c>
      <c r="AC28">
        <v>0.93859999999999999</v>
      </c>
      <c r="AD28">
        <v>0.9708</v>
      </c>
    </row>
    <row r="29" spans="1:30" x14ac:dyDescent="0.35">
      <c r="A29">
        <v>5</v>
      </c>
      <c r="B29" t="s">
        <v>110</v>
      </c>
      <c r="C29" cm="1">
        <f t="array" ref="C29">SUM(VALUE('Survey C'!O$3:O$100))</f>
        <v>14</v>
      </c>
      <c r="D29" cm="1">
        <f t="array" ref="D29">SUM(VALUE('Survey C'!P$3:P$100))</f>
        <v>13</v>
      </c>
      <c r="E29">
        <f>COUNTA('Survey C'!$F$3:$F$100)</f>
        <v>5</v>
      </c>
      <c r="F29">
        <v>2</v>
      </c>
      <c r="G29">
        <f t="shared" si="1"/>
        <v>2.8</v>
      </c>
      <c r="H29">
        <f t="shared" si="2"/>
        <v>2.6</v>
      </c>
      <c r="I29">
        <f t="shared" si="4"/>
        <v>1</v>
      </c>
      <c r="J29">
        <f t="shared" si="3"/>
        <v>0</v>
      </c>
      <c r="K29">
        <v>1.0645</v>
      </c>
      <c r="L29">
        <v>1.0645</v>
      </c>
      <c r="M29">
        <v>0.34920000000000001</v>
      </c>
      <c r="N29">
        <v>0.57750000000000001</v>
      </c>
      <c r="O29">
        <v>0</v>
      </c>
      <c r="P29">
        <v>0.26319999999999999</v>
      </c>
      <c r="Q29">
        <v>1</v>
      </c>
      <c r="R29">
        <v>1.0986</v>
      </c>
      <c r="S29">
        <v>0.74480000000000002</v>
      </c>
      <c r="T29">
        <v>0.2525</v>
      </c>
      <c r="U29">
        <v>-4.9428000000000001</v>
      </c>
      <c r="V29">
        <v>10.333299999999999</v>
      </c>
      <c r="W29">
        <v>1</v>
      </c>
      <c r="X29">
        <v>0.47239999999999999</v>
      </c>
      <c r="Y29">
        <v>0.70520000000000005</v>
      </c>
      <c r="Z29">
        <v>6.59E-2</v>
      </c>
      <c r="AA29">
        <v>6.5699999999999995E-2</v>
      </c>
      <c r="AB29">
        <v>0.58350000000000002</v>
      </c>
      <c r="AC29">
        <v>0.55769999999999997</v>
      </c>
      <c r="AD29">
        <v>0.96960000000000002</v>
      </c>
    </row>
    <row r="30" spans="1:30" x14ac:dyDescent="0.35">
      <c r="A30">
        <v>5</v>
      </c>
      <c r="B30" t="s">
        <v>111</v>
      </c>
      <c r="C30" cm="1">
        <f t="array" ref="C30">SUM(VALUE('Survey C'!R$3:R112))</f>
        <v>18</v>
      </c>
      <c r="D30" cm="1">
        <f t="array" ref="D30">SUM(VALUE('Survey C'!S$3:S112))</f>
        <v>19</v>
      </c>
      <c r="E30">
        <f>COUNTA('Survey C'!$F$3:$F$100)</f>
        <v>5</v>
      </c>
      <c r="F30">
        <v>1</v>
      </c>
      <c r="G30">
        <f t="shared" si="1"/>
        <v>3.6</v>
      </c>
      <c r="H30">
        <f t="shared" si="2"/>
        <v>3.8</v>
      </c>
      <c r="I30">
        <f t="shared" si="4"/>
        <v>0</v>
      </c>
      <c r="J30">
        <f t="shared" si="3"/>
        <v>1</v>
      </c>
      <c r="K30">
        <v>2.081</v>
      </c>
      <c r="L30">
        <v>0.55769999999999997</v>
      </c>
      <c r="M30">
        <v>0.62849999999999995</v>
      </c>
      <c r="N30">
        <v>0.69589999999999996</v>
      </c>
      <c r="O30">
        <v>0</v>
      </c>
      <c r="P30">
        <v>0.23530000000000001</v>
      </c>
      <c r="Q30">
        <v>1</v>
      </c>
      <c r="R30">
        <v>1.6093999999999999</v>
      </c>
      <c r="S30">
        <v>0.56459999999999999</v>
      </c>
      <c r="T30">
        <v>0.40920000000000001</v>
      </c>
      <c r="U30">
        <v>-5.8921999999999999</v>
      </c>
      <c r="V30">
        <v>2.125</v>
      </c>
      <c r="W30">
        <v>0</v>
      </c>
      <c r="X30">
        <v>0.45119999999999999</v>
      </c>
      <c r="Y30">
        <v>0.83209999999999995</v>
      </c>
      <c r="Z30">
        <v>2.7000000000000001E-3</v>
      </c>
      <c r="AA30">
        <v>4.1000000000000003E-3</v>
      </c>
      <c r="AB30">
        <v>0.90300000000000002</v>
      </c>
      <c r="AC30">
        <v>0.87519999999999998</v>
      </c>
      <c r="AD30">
        <v>0.97019999999999995</v>
      </c>
    </row>
    <row r="31" spans="1:30" x14ac:dyDescent="0.35">
      <c r="A31">
        <v>5</v>
      </c>
      <c r="B31" t="s">
        <v>112</v>
      </c>
      <c r="C31" cm="1">
        <f t="array" ref="C31">SUM(VALUE('Survey C'!V$3:V$100))</f>
        <v>14</v>
      </c>
      <c r="D31" cm="1">
        <f t="array" ref="D31">SUM(VALUE('Survey C'!W$3:W$100))</f>
        <v>14</v>
      </c>
      <c r="E31">
        <f>COUNTA('Survey C'!$F$3:$F$100)</f>
        <v>5</v>
      </c>
      <c r="F31" t="s">
        <v>113</v>
      </c>
      <c r="G31">
        <f t="shared" si="1"/>
        <v>2.8</v>
      </c>
      <c r="H31">
        <f t="shared" si="2"/>
        <v>2.8</v>
      </c>
      <c r="I31">
        <f t="shared" si="4"/>
        <v>0</v>
      </c>
      <c r="J31">
        <f t="shared" si="3"/>
        <v>0</v>
      </c>
      <c r="K31">
        <v>1.7678</v>
      </c>
      <c r="L31">
        <v>1.1800999999999999</v>
      </c>
      <c r="M31">
        <v>0.18690000000000001</v>
      </c>
      <c r="N31">
        <v>0.95499999999999996</v>
      </c>
      <c r="O31">
        <v>0</v>
      </c>
      <c r="P31">
        <v>0.13639999999999999</v>
      </c>
      <c r="Q31">
        <v>0.8</v>
      </c>
      <c r="R31">
        <v>1.7987</v>
      </c>
      <c r="S31">
        <v>1.0026999999999999</v>
      </c>
      <c r="T31">
        <v>1.2921</v>
      </c>
      <c r="U31">
        <v>-6.1243999999999996</v>
      </c>
      <c r="V31">
        <v>5.7832999999999997</v>
      </c>
      <c r="W31">
        <v>0</v>
      </c>
      <c r="X31">
        <v>0.3478</v>
      </c>
      <c r="Y31">
        <v>0.8327</v>
      </c>
      <c r="Z31">
        <v>6.3E-3</v>
      </c>
      <c r="AA31">
        <v>8.9999999999999993E-3</v>
      </c>
      <c r="AB31">
        <v>0.91400000000000003</v>
      </c>
      <c r="AC31">
        <v>0.96909999999999996</v>
      </c>
      <c r="AD31">
        <v>0.93520000000000003</v>
      </c>
    </row>
    <row r="32" spans="1:30" x14ac:dyDescent="0.35">
      <c r="A32">
        <v>6</v>
      </c>
      <c r="B32" t="s">
        <v>107</v>
      </c>
      <c r="C32" cm="1">
        <f t="array" ref="C32">SUM(VALUE('Survey C'!AK$3:AK$100))</f>
        <v>9</v>
      </c>
      <c r="D32" cm="1">
        <f t="array" ref="D32">SUM(VALUE('Survey C'!AL$3:AL$100))</f>
        <v>12</v>
      </c>
      <c r="E32">
        <f>COUNTA('Survey C'!$F$3:$F$100)</f>
        <v>5</v>
      </c>
      <c r="F32">
        <v>2</v>
      </c>
      <c r="G32">
        <f t="shared" si="1"/>
        <v>1.8</v>
      </c>
      <c r="H32">
        <f t="shared" si="2"/>
        <v>2.4</v>
      </c>
      <c r="I32">
        <f t="shared" si="4"/>
        <v>1</v>
      </c>
      <c r="J32">
        <f t="shared" si="3"/>
        <v>0</v>
      </c>
      <c r="K32">
        <v>1.9239999999999999</v>
      </c>
      <c r="L32">
        <v>1.5915999999999999</v>
      </c>
      <c r="M32">
        <v>1.0528</v>
      </c>
      <c r="N32">
        <v>0.33860000000000001</v>
      </c>
      <c r="O32">
        <v>1</v>
      </c>
      <c r="P32">
        <v>0.50429999999999997</v>
      </c>
      <c r="Q32">
        <v>1</v>
      </c>
      <c r="R32">
        <v>2.9784999999999999</v>
      </c>
      <c r="S32">
        <v>0.84570000000000001</v>
      </c>
      <c r="T32">
        <v>2.3182</v>
      </c>
      <c r="U32">
        <v>-4.0271999999999997</v>
      </c>
      <c r="V32">
        <v>5.6124999999999998</v>
      </c>
      <c r="W32">
        <v>0</v>
      </c>
      <c r="X32">
        <v>0.92659999999999998</v>
      </c>
      <c r="Y32">
        <v>0.26300000000000001</v>
      </c>
      <c r="Z32">
        <v>9.2999999999999999E-2</v>
      </c>
      <c r="AA32">
        <v>8.5900000000000004E-2</v>
      </c>
      <c r="AB32">
        <v>0.88249999999999995</v>
      </c>
      <c r="AC32">
        <v>0.91820000000000002</v>
      </c>
      <c r="AD32">
        <v>0.92479999999999996</v>
      </c>
    </row>
    <row r="33" spans="1:30" x14ac:dyDescent="0.35">
      <c r="A33">
        <v>6</v>
      </c>
      <c r="B33" t="s">
        <v>108</v>
      </c>
      <c r="C33" cm="1">
        <f t="array" ref="C33">SUM(VALUE('Survey C'!AB$3:AB$100))</f>
        <v>10</v>
      </c>
      <c r="D33" cm="1">
        <f t="array" ref="D33">SUM(VALUE('Survey C'!AC$3:AC$100))</f>
        <v>10</v>
      </c>
      <c r="E33">
        <f>COUNTA('Survey C'!$F$3:$F$100)</f>
        <v>5</v>
      </c>
      <c r="F33">
        <v>2</v>
      </c>
      <c r="G33">
        <f t="shared" si="1"/>
        <v>2</v>
      </c>
      <c r="H33">
        <f t="shared" si="2"/>
        <v>2</v>
      </c>
      <c r="I33">
        <f t="shared" si="4"/>
        <v>1</v>
      </c>
      <c r="J33">
        <f t="shared" si="3"/>
        <v>0</v>
      </c>
      <c r="K33">
        <v>0</v>
      </c>
      <c r="L33">
        <v>1.9011</v>
      </c>
      <c r="M33">
        <v>1.3279000000000001</v>
      </c>
      <c r="N33">
        <v>0.29709999999999998</v>
      </c>
      <c r="O33">
        <v>0</v>
      </c>
      <c r="P33">
        <v>0.73029999999999995</v>
      </c>
      <c r="Q33">
        <v>1</v>
      </c>
      <c r="R33">
        <v>2.3420000000000001</v>
      </c>
      <c r="S33">
        <v>0.7611</v>
      </c>
      <c r="T33">
        <v>1.1443000000000001</v>
      </c>
      <c r="U33">
        <v>-4.0256999999999996</v>
      </c>
      <c r="V33">
        <v>3.7231000000000001</v>
      </c>
      <c r="W33">
        <v>0</v>
      </c>
      <c r="X33">
        <v>1.2286999999999999</v>
      </c>
      <c r="Y33">
        <v>0.35420000000000001</v>
      </c>
      <c r="Z33">
        <v>5.1999999999999998E-3</v>
      </c>
      <c r="AA33">
        <v>1.34E-2</v>
      </c>
      <c r="AB33">
        <v>0.89739999999999998</v>
      </c>
      <c r="AC33">
        <v>0.92100000000000004</v>
      </c>
      <c r="AD33">
        <v>0.91469999999999996</v>
      </c>
    </row>
    <row r="34" spans="1:30" x14ac:dyDescent="0.35">
      <c r="A34">
        <v>6</v>
      </c>
      <c r="B34" t="s">
        <v>109</v>
      </c>
      <c r="C34" cm="1">
        <f t="array" ref="C34">SUM(VALUE('Survey C'!AE$3:AE$100))</f>
        <v>20</v>
      </c>
      <c r="D34" cm="1">
        <f t="array" ref="D34">SUM(VALUE('Survey C'!AF$3:AF$100))</f>
        <v>19</v>
      </c>
      <c r="E34">
        <f>COUNTA('Survey C'!$F$3:$F$100)</f>
        <v>5</v>
      </c>
      <c r="F34">
        <v>0</v>
      </c>
      <c r="G34">
        <f t="shared" si="1"/>
        <v>4</v>
      </c>
      <c r="H34">
        <f t="shared" si="2"/>
        <v>3.8</v>
      </c>
      <c r="I34">
        <f t="shared" si="4"/>
        <v>0</v>
      </c>
      <c r="J34">
        <f t="shared" si="3"/>
        <v>1</v>
      </c>
      <c r="K34">
        <v>2.4245999999999999</v>
      </c>
      <c r="L34">
        <v>0.59619999999999995</v>
      </c>
      <c r="M34">
        <v>1.4359</v>
      </c>
      <c r="N34">
        <v>0.35020000000000001</v>
      </c>
      <c r="O34">
        <v>0</v>
      </c>
      <c r="P34">
        <v>0.76770000000000005</v>
      </c>
      <c r="Q34">
        <v>0.90910000000000002</v>
      </c>
      <c r="R34">
        <v>2.1383000000000001</v>
      </c>
      <c r="S34">
        <v>0.54679999999999995</v>
      </c>
      <c r="T34">
        <v>0.73609999999999998</v>
      </c>
      <c r="U34">
        <v>-4.3598999999999997</v>
      </c>
      <c r="V34">
        <v>2.1273</v>
      </c>
      <c r="W34">
        <v>0</v>
      </c>
      <c r="X34">
        <v>1.208</v>
      </c>
      <c r="Y34">
        <v>0.30980000000000002</v>
      </c>
      <c r="Z34">
        <v>2.7000000000000001E-3</v>
      </c>
      <c r="AA34">
        <v>1.06E-2</v>
      </c>
      <c r="AB34">
        <v>0.88870000000000005</v>
      </c>
      <c r="AC34">
        <v>0.85770000000000002</v>
      </c>
      <c r="AD34">
        <v>0.89739999999999998</v>
      </c>
    </row>
    <row r="35" spans="1:30" x14ac:dyDescent="0.35">
      <c r="A35">
        <v>6</v>
      </c>
      <c r="B35" t="s">
        <v>110</v>
      </c>
      <c r="C35" cm="1">
        <f t="array" ref="C35">SUM(VALUE('Survey C'!AH$3:AH$100))</f>
        <v>14</v>
      </c>
      <c r="D35" cm="1">
        <f t="array" ref="D35">SUM(VALUE('Survey C'!AI$3:AI$100))</f>
        <v>13</v>
      </c>
      <c r="E35">
        <f>COUNTA('Survey C'!$F$3:$F$100)</f>
        <v>5</v>
      </c>
      <c r="F35">
        <v>1</v>
      </c>
      <c r="G35">
        <f t="shared" si="1"/>
        <v>2.8</v>
      </c>
      <c r="H35">
        <f t="shared" si="2"/>
        <v>2.6</v>
      </c>
      <c r="I35">
        <f t="shared" si="4"/>
        <v>1</v>
      </c>
      <c r="J35">
        <f t="shared" si="3"/>
        <v>0</v>
      </c>
      <c r="K35">
        <v>1.0405</v>
      </c>
      <c r="L35">
        <v>0.66930000000000001</v>
      </c>
      <c r="M35">
        <v>1.3288</v>
      </c>
      <c r="N35">
        <v>0.57150000000000001</v>
      </c>
      <c r="O35">
        <v>0</v>
      </c>
      <c r="P35">
        <v>0.68820000000000003</v>
      </c>
      <c r="Q35">
        <v>1</v>
      </c>
      <c r="R35">
        <v>2.1972</v>
      </c>
      <c r="S35">
        <v>0.96160000000000001</v>
      </c>
      <c r="T35">
        <v>0.74719999999999998</v>
      </c>
      <c r="U35">
        <v>-6.6588000000000003</v>
      </c>
      <c r="V35">
        <v>1.6708000000000001</v>
      </c>
      <c r="W35">
        <v>0</v>
      </c>
      <c r="X35">
        <v>1.3927</v>
      </c>
      <c r="Y35">
        <v>5.8799999999999998E-2</v>
      </c>
      <c r="Z35">
        <v>1.4999999999999999E-2</v>
      </c>
      <c r="AA35">
        <v>2.1000000000000001E-2</v>
      </c>
      <c r="AB35">
        <v>0.81189999999999996</v>
      </c>
      <c r="AC35">
        <v>0.86370000000000002</v>
      </c>
      <c r="AD35">
        <v>0.96130000000000004</v>
      </c>
    </row>
    <row r="36" spans="1:30" x14ac:dyDescent="0.35">
      <c r="A36">
        <v>6</v>
      </c>
      <c r="B36" t="s">
        <v>111</v>
      </c>
      <c r="C36" cm="1">
        <f t="array" ref="C36">SUM(VALUE('Survey C'!Y$3:Y$100))</f>
        <v>15</v>
      </c>
      <c r="D36" cm="1">
        <f t="array" ref="D36">SUM(VALUE('Survey C'!Z$3:Z$100))</f>
        <v>16</v>
      </c>
      <c r="E36">
        <f>COUNTA('Survey C'!$F$3:$F$100)</f>
        <v>5</v>
      </c>
      <c r="F36">
        <v>0</v>
      </c>
      <c r="G36">
        <f t="shared" si="1"/>
        <v>3</v>
      </c>
      <c r="H36">
        <f t="shared" si="2"/>
        <v>3.2</v>
      </c>
      <c r="I36">
        <f t="shared" si="4"/>
        <v>0</v>
      </c>
      <c r="J36">
        <f t="shared" si="3"/>
        <v>0</v>
      </c>
      <c r="K36">
        <v>1.9085000000000001</v>
      </c>
      <c r="L36">
        <v>1.0163</v>
      </c>
      <c r="M36">
        <v>1.0132000000000001</v>
      </c>
      <c r="N36">
        <v>0.33179999999999998</v>
      </c>
      <c r="O36">
        <v>0</v>
      </c>
      <c r="P36">
        <v>0.59460000000000002</v>
      </c>
      <c r="Q36">
        <v>0.66669999999999996</v>
      </c>
      <c r="R36">
        <v>1.1536999999999999</v>
      </c>
      <c r="S36">
        <v>0.81220000000000003</v>
      </c>
      <c r="T36">
        <v>0.44969999999999999</v>
      </c>
      <c r="U36">
        <v>-7.0816999999999997</v>
      </c>
      <c r="V36">
        <v>4.25</v>
      </c>
      <c r="W36">
        <v>0</v>
      </c>
      <c r="X36">
        <v>0.93149999999999999</v>
      </c>
      <c r="Y36">
        <v>0.49009999999999998</v>
      </c>
      <c r="Z36">
        <v>3.9399999999999998E-2</v>
      </c>
      <c r="AA36">
        <v>4.5999999999999999E-2</v>
      </c>
      <c r="AB36">
        <v>0.80459999999999998</v>
      </c>
      <c r="AC36">
        <v>0.8639</v>
      </c>
      <c r="AD36">
        <v>0.9032</v>
      </c>
    </row>
    <row r="37" spans="1:30" x14ac:dyDescent="0.35">
      <c r="A37">
        <v>6</v>
      </c>
      <c r="B37" t="s">
        <v>112</v>
      </c>
      <c r="C37" cm="1">
        <f t="array" ref="C37">SUM(VALUE('Survey C'!AO$3:AO$100))</f>
        <v>16</v>
      </c>
      <c r="D37" cm="1">
        <f t="array" ref="D37">SUM(VALUE('Survey C'!AP$3:AP$100))</f>
        <v>16</v>
      </c>
      <c r="E37">
        <f>COUNTA('Survey C'!$F$3:$F$100)</f>
        <v>5</v>
      </c>
      <c r="F37" t="s">
        <v>113</v>
      </c>
      <c r="G37">
        <f t="shared" si="1"/>
        <v>3.2</v>
      </c>
      <c r="H37">
        <f t="shared" si="2"/>
        <v>3.2</v>
      </c>
      <c r="I37">
        <f t="shared" si="4"/>
        <v>0</v>
      </c>
      <c r="J37">
        <f t="shared" si="3"/>
        <v>0</v>
      </c>
      <c r="K37">
        <v>3.4841000000000002</v>
      </c>
      <c r="L37">
        <v>1.6732</v>
      </c>
      <c r="M37">
        <v>0.49659999999999999</v>
      </c>
      <c r="N37">
        <v>1.238</v>
      </c>
      <c r="O37">
        <v>0</v>
      </c>
      <c r="P37">
        <v>0.1951</v>
      </c>
      <c r="Q37">
        <v>0.88890000000000002</v>
      </c>
      <c r="R37">
        <v>2.1640000000000001</v>
      </c>
      <c r="S37">
        <v>1.3009999999999999</v>
      </c>
      <c r="T37">
        <v>1.2609999999999999</v>
      </c>
      <c r="U37">
        <v>-5.5038</v>
      </c>
      <c r="V37">
        <v>2.0648</v>
      </c>
      <c r="W37">
        <v>1</v>
      </c>
      <c r="X37">
        <v>0.32890000000000003</v>
      </c>
      <c r="Y37">
        <v>1.1685000000000001</v>
      </c>
      <c r="Z37">
        <v>6.4999999999999997E-3</v>
      </c>
      <c r="AA37">
        <v>1.3899999999999999E-2</v>
      </c>
      <c r="AB37">
        <v>0.80779999999999996</v>
      </c>
      <c r="AC37">
        <v>0.92249999999999999</v>
      </c>
      <c r="AD37">
        <v>0.83979999999999999</v>
      </c>
    </row>
    <row r="38" spans="1:30" x14ac:dyDescent="0.35">
      <c r="A38">
        <v>7</v>
      </c>
      <c r="B38" t="s">
        <v>107</v>
      </c>
      <c r="C38" s="7" cm="1">
        <f t="array" ref="C38">SUM(VALUE('Survey D'!F$3:F$100))</f>
        <v>18</v>
      </c>
      <c r="D38" s="7" cm="1">
        <f t="array" ref="D38">SUM(VALUE('Survey D'!G$3:G$100))</f>
        <v>18</v>
      </c>
      <c r="E38">
        <f>COUNTA('Survey D'!$F$3:$F$100)</f>
        <v>4</v>
      </c>
      <c r="F38">
        <v>0</v>
      </c>
      <c r="G38">
        <f t="shared" si="1"/>
        <v>4.5</v>
      </c>
      <c r="H38">
        <f t="shared" si="2"/>
        <v>4.5</v>
      </c>
      <c r="I38">
        <f t="shared" si="4"/>
        <v>0</v>
      </c>
      <c r="J38">
        <f t="shared" si="3"/>
        <v>1</v>
      </c>
      <c r="K38">
        <v>0.98860000000000003</v>
      </c>
      <c r="L38">
        <v>0.38479999999999998</v>
      </c>
      <c r="M38">
        <v>0.67230000000000001</v>
      </c>
      <c r="N38">
        <v>0.2989</v>
      </c>
      <c r="O38">
        <v>0</v>
      </c>
      <c r="P38">
        <v>0.38750000000000001</v>
      </c>
      <c r="Q38">
        <v>1</v>
      </c>
      <c r="R38">
        <v>2.3694000000000002</v>
      </c>
      <c r="S38">
        <v>0.75900000000000001</v>
      </c>
      <c r="T38">
        <v>1.0654999999999999</v>
      </c>
      <c r="U38">
        <v>-4.4825999999999997</v>
      </c>
      <c r="V38">
        <v>3.8955000000000002</v>
      </c>
      <c r="W38">
        <v>0</v>
      </c>
      <c r="X38">
        <v>1.1334</v>
      </c>
      <c r="Y38">
        <v>0.63219999999999998</v>
      </c>
      <c r="Z38">
        <v>1.9300000000000001E-2</v>
      </c>
      <c r="AA38">
        <v>1.47E-2</v>
      </c>
      <c r="AB38">
        <v>0.83009999999999995</v>
      </c>
      <c r="AC38">
        <v>0.90580000000000005</v>
      </c>
      <c r="AD38">
        <v>0.84150000000000003</v>
      </c>
    </row>
    <row r="39" spans="1:30" x14ac:dyDescent="0.35">
      <c r="A39">
        <v>7</v>
      </c>
      <c r="B39" t="s">
        <v>108</v>
      </c>
      <c r="C39" cm="1">
        <f t="array" ref="C39">SUM(VALUE('Survey D'!I$3:I$100))</f>
        <v>14</v>
      </c>
      <c r="D39" cm="1">
        <f t="array" ref="D39">SUM(VALUE('Survey D'!J$3:J$100))</f>
        <v>11</v>
      </c>
      <c r="E39">
        <f>COUNTA('Survey D'!$F$3:$F$100)</f>
        <v>4</v>
      </c>
      <c r="F39">
        <v>1</v>
      </c>
      <c r="G39">
        <f t="shared" si="1"/>
        <v>3.5</v>
      </c>
      <c r="H39">
        <f t="shared" si="2"/>
        <v>2.75</v>
      </c>
      <c r="I39">
        <f t="shared" si="4"/>
        <v>0</v>
      </c>
      <c r="J39">
        <f t="shared" si="3"/>
        <v>0</v>
      </c>
      <c r="K39">
        <v>0.36509999999999998</v>
      </c>
      <c r="L39">
        <v>0.5323</v>
      </c>
      <c r="M39">
        <v>9.6799999999999997E-2</v>
      </c>
      <c r="N39">
        <v>0.82179999999999997</v>
      </c>
      <c r="O39">
        <v>0</v>
      </c>
      <c r="P39">
        <v>0.13980000000000001</v>
      </c>
      <c r="Q39">
        <v>0.58330000000000004</v>
      </c>
      <c r="R39">
        <v>1.7326999999999999</v>
      </c>
      <c r="S39">
        <v>0.48070000000000002</v>
      </c>
      <c r="T39">
        <v>0.43180000000000002</v>
      </c>
      <c r="U39">
        <v>-7.8948</v>
      </c>
      <c r="V39">
        <v>2.6842999999999999</v>
      </c>
      <c r="W39">
        <v>0</v>
      </c>
      <c r="X39">
        <v>0.61909999999999998</v>
      </c>
      <c r="Y39">
        <v>1.1257999999999999</v>
      </c>
      <c r="Z39">
        <v>3.0200000000000001E-2</v>
      </c>
      <c r="AA39">
        <v>2.0299999999999999E-2</v>
      </c>
      <c r="AB39">
        <v>0.80459999999999998</v>
      </c>
      <c r="AC39">
        <v>0.68840000000000001</v>
      </c>
      <c r="AD39">
        <v>0.82530000000000003</v>
      </c>
    </row>
    <row r="40" spans="1:30" x14ac:dyDescent="0.35">
      <c r="A40">
        <v>7</v>
      </c>
      <c r="B40" t="s">
        <v>109</v>
      </c>
      <c r="C40" cm="1">
        <f t="array" ref="C40">SUM(VALUE('Survey D'!L$3:L$100))</f>
        <v>16</v>
      </c>
      <c r="D40" cm="1">
        <f t="array" ref="D40">SUM(VALUE('Survey D'!M$3:M$100))</f>
        <v>17</v>
      </c>
      <c r="E40">
        <f>COUNTA('Survey D'!$F$3:$F$100)</f>
        <v>4</v>
      </c>
      <c r="F40">
        <v>0</v>
      </c>
      <c r="G40">
        <f t="shared" si="1"/>
        <v>4</v>
      </c>
      <c r="H40">
        <f t="shared" si="2"/>
        <v>4.25</v>
      </c>
      <c r="I40">
        <f t="shared" si="4"/>
        <v>0</v>
      </c>
      <c r="J40">
        <f t="shared" si="3"/>
        <v>1</v>
      </c>
      <c r="K40">
        <v>2.0099999999999998</v>
      </c>
      <c r="L40">
        <v>0.73</v>
      </c>
      <c r="M40">
        <v>1.1257999999999999</v>
      </c>
      <c r="N40">
        <v>0.4456</v>
      </c>
      <c r="O40">
        <v>0</v>
      </c>
      <c r="P40">
        <v>0.7097</v>
      </c>
      <c r="Q40">
        <v>1</v>
      </c>
      <c r="R40">
        <v>1.3863000000000001</v>
      </c>
      <c r="S40">
        <v>0.71399999999999997</v>
      </c>
      <c r="T40">
        <v>0.1774</v>
      </c>
      <c r="U40">
        <v>-5.8155999999999999</v>
      </c>
      <c r="V40">
        <v>1.4666999999999999</v>
      </c>
      <c r="W40">
        <v>0</v>
      </c>
      <c r="X40">
        <v>1.583</v>
      </c>
      <c r="Y40">
        <v>0.22750000000000001</v>
      </c>
      <c r="Z40">
        <v>1.8700000000000001E-2</v>
      </c>
      <c r="AA40">
        <v>3.32E-2</v>
      </c>
      <c r="AB40">
        <v>0.74519999999999997</v>
      </c>
      <c r="AC40">
        <v>0.82399999999999995</v>
      </c>
      <c r="AD40">
        <v>0.80689999999999995</v>
      </c>
    </row>
    <row r="41" spans="1:30" x14ac:dyDescent="0.35">
      <c r="A41">
        <v>7</v>
      </c>
      <c r="B41" t="s">
        <v>110</v>
      </c>
      <c r="C41" cm="1">
        <f t="array" ref="C41">SUM(VALUE('Survey D'!O$3:O$100))</f>
        <v>15</v>
      </c>
      <c r="D41" cm="1">
        <f t="array" ref="D41">SUM(VALUE('Survey D'!P$3:P$100))</f>
        <v>13</v>
      </c>
      <c r="E41">
        <f>COUNTA('Survey D'!$F$3:$F$100)</f>
        <v>4</v>
      </c>
      <c r="F41">
        <v>0</v>
      </c>
      <c r="G41">
        <f t="shared" si="1"/>
        <v>3.75</v>
      </c>
      <c r="H41">
        <f t="shared" si="2"/>
        <v>3.25</v>
      </c>
      <c r="I41">
        <f t="shared" si="4"/>
        <v>0</v>
      </c>
      <c r="J41">
        <f t="shared" si="3"/>
        <v>1</v>
      </c>
      <c r="K41">
        <v>1.6504000000000001</v>
      </c>
      <c r="L41">
        <v>0.5323</v>
      </c>
      <c r="M41">
        <v>1.21</v>
      </c>
      <c r="N41">
        <v>0.47760000000000002</v>
      </c>
      <c r="O41">
        <v>0</v>
      </c>
      <c r="P41">
        <v>0.75929999999999997</v>
      </c>
      <c r="Q41">
        <v>1</v>
      </c>
      <c r="R41">
        <v>1.0986</v>
      </c>
      <c r="S41">
        <v>0.92669999999999997</v>
      </c>
      <c r="T41">
        <v>0.21940000000000001</v>
      </c>
      <c r="U41">
        <v>-4.2465000000000002</v>
      </c>
      <c r="V41">
        <v>4.375</v>
      </c>
      <c r="W41">
        <v>0</v>
      </c>
      <c r="X41">
        <v>1.4834000000000001</v>
      </c>
      <c r="Y41">
        <v>0.30830000000000002</v>
      </c>
      <c r="Z41">
        <v>3.1399999999999997E-2</v>
      </c>
      <c r="AA41">
        <v>2.1499999999999998E-2</v>
      </c>
      <c r="AB41">
        <v>0.82769999999999999</v>
      </c>
      <c r="AC41">
        <v>0.83730000000000004</v>
      </c>
      <c r="AD41">
        <v>0.81330000000000002</v>
      </c>
    </row>
    <row r="42" spans="1:30" x14ac:dyDescent="0.35">
      <c r="A42">
        <v>7</v>
      </c>
      <c r="B42" t="s">
        <v>111</v>
      </c>
      <c r="C42" cm="1">
        <f t="array" ref="C42">SUM(VALUE('Survey D'!R$3:R124))</f>
        <v>9</v>
      </c>
      <c r="D42" cm="1">
        <f t="array" ref="D42">SUM(VALUE('Survey D'!S$3:S124))</f>
        <v>7</v>
      </c>
      <c r="E42">
        <f>COUNTA('Survey D'!$F$3:$F$100)</f>
        <v>4</v>
      </c>
      <c r="F42">
        <v>3</v>
      </c>
      <c r="G42">
        <f t="shared" si="1"/>
        <v>2.25</v>
      </c>
      <c r="H42">
        <f t="shared" si="2"/>
        <v>1.75</v>
      </c>
      <c r="I42">
        <f t="shared" si="4"/>
        <v>1</v>
      </c>
      <c r="J42">
        <f t="shared" si="3"/>
        <v>0</v>
      </c>
      <c r="K42">
        <v>1.1154999999999999</v>
      </c>
      <c r="L42">
        <v>0.5323</v>
      </c>
      <c r="M42">
        <v>0.39329999999999998</v>
      </c>
      <c r="N42">
        <v>0.1166</v>
      </c>
      <c r="O42">
        <v>0</v>
      </c>
      <c r="P42">
        <v>0.4138</v>
      </c>
      <c r="Q42">
        <v>1</v>
      </c>
      <c r="R42">
        <v>1.9459</v>
      </c>
      <c r="S42">
        <v>0.73329999999999995</v>
      </c>
      <c r="T42">
        <v>0.61160000000000003</v>
      </c>
      <c r="U42">
        <v>-7.3581000000000003</v>
      </c>
      <c r="V42">
        <v>3.3582999999999998</v>
      </c>
      <c r="W42">
        <v>0</v>
      </c>
      <c r="X42">
        <v>0.71879999999999999</v>
      </c>
      <c r="Y42">
        <v>1.0429999999999999</v>
      </c>
      <c r="Z42">
        <v>7.2800000000000004E-2</v>
      </c>
      <c r="AA42">
        <v>6.7799999999999999E-2</v>
      </c>
      <c r="AB42">
        <v>0.69869999999999999</v>
      </c>
      <c r="AC42">
        <v>0.70040000000000002</v>
      </c>
      <c r="AD42">
        <v>0.81389999999999996</v>
      </c>
    </row>
    <row r="43" spans="1:30" x14ac:dyDescent="0.35">
      <c r="A43">
        <v>7</v>
      </c>
      <c r="B43" t="s">
        <v>112</v>
      </c>
      <c r="C43" cm="1">
        <f t="array" ref="C43">SUM(VALUE('Survey D'!V$3:V$100))</f>
        <v>13</v>
      </c>
      <c r="D43" cm="1">
        <f t="array" ref="D43">SUM(VALUE('Survey D'!W$3:W$100))</f>
        <v>11</v>
      </c>
      <c r="E43">
        <f>COUNTA('Survey D'!$F$3:$F$100)</f>
        <v>4</v>
      </c>
      <c r="F43" t="s">
        <v>113</v>
      </c>
      <c r="G43">
        <f t="shared" si="1"/>
        <v>3.25</v>
      </c>
      <c r="H43">
        <f t="shared" si="2"/>
        <v>2.75</v>
      </c>
      <c r="I43">
        <f t="shared" si="4"/>
        <v>0</v>
      </c>
      <c r="J43">
        <f t="shared" si="3"/>
        <v>0</v>
      </c>
      <c r="K43">
        <v>0.5323</v>
      </c>
      <c r="L43">
        <v>0.33879999999999999</v>
      </c>
      <c r="M43">
        <v>0.3594</v>
      </c>
      <c r="N43">
        <v>0.85609999999999997</v>
      </c>
      <c r="O43">
        <v>1</v>
      </c>
      <c r="P43">
        <v>0.25640000000000002</v>
      </c>
      <c r="Q43">
        <v>0.8</v>
      </c>
      <c r="R43">
        <v>2.0983000000000001</v>
      </c>
      <c r="S43">
        <v>0.64170000000000005</v>
      </c>
      <c r="T43">
        <v>0.79530000000000001</v>
      </c>
      <c r="U43">
        <v>-4.8338000000000001</v>
      </c>
      <c r="V43">
        <v>4.5833000000000004</v>
      </c>
      <c r="W43">
        <v>0</v>
      </c>
      <c r="X43">
        <v>0.58140000000000003</v>
      </c>
      <c r="Y43">
        <v>1.208</v>
      </c>
      <c r="Z43">
        <v>8.5000000000000006E-3</v>
      </c>
      <c r="AA43">
        <v>1.7100000000000001E-2</v>
      </c>
      <c r="AB43">
        <v>0.88319999999999999</v>
      </c>
      <c r="AC43">
        <v>0.91449999999999998</v>
      </c>
      <c r="AD43">
        <v>0.87839999999999996</v>
      </c>
    </row>
    <row r="44" spans="1:30" x14ac:dyDescent="0.35">
      <c r="A44">
        <v>8</v>
      </c>
      <c r="B44" t="s">
        <v>107</v>
      </c>
      <c r="C44" cm="1">
        <f t="array" ref="C44">SUM(VALUE('Survey D'!AK$3:AK$100))</f>
        <v>18</v>
      </c>
      <c r="D44" cm="1">
        <f t="array" ref="D44">SUM(VALUE('Survey D'!AL$3:AL$100))</f>
        <v>19</v>
      </c>
      <c r="E44">
        <f>COUNTA('Survey D'!$F$3:$F$100)</f>
        <v>4</v>
      </c>
      <c r="F44">
        <v>0</v>
      </c>
      <c r="G44">
        <f t="shared" si="1"/>
        <v>4.5</v>
      </c>
      <c r="H44">
        <f t="shared" si="2"/>
        <v>4.75</v>
      </c>
      <c r="I44">
        <f t="shared" si="4"/>
        <v>0</v>
      </c>
      <c r="J44">
        <f t="shared" si="3"/>
        <v>1</v>
      </c>
      <c r="K44">
        <v>1.1609</v>
      </c>
      <c r="L44">
        <v>1.1609</v>
      </c>
      <c r="M44">
        <v>0.29609999999999997</v>
      </c>
      <c r="N44">
        <v>0.39</v>
      </c>
      <c r="O44">
        <v>0</v>
      </c>
      <c r="P44">
        <v>0.1182</v>
      </c>
      <c r="Q44">
        <v>0.68420000000000003</v>
      </c>
      <c r="R44">
        <v>2.1945000000000001</v>
      </c>
      <c r="S44">
        <v>0.66659999999999997</v>
      </c>
      <c r="T44">
        <v>1.3487</v>
      </c>
      <c r="U44">
        <v>-3.8370000000000002</v>
      </c>
      <c r="V44">
        <v>4.7439999999999998</v>
      </c>
      <c r="W44">
        <v>1</v>
      </c>
      <c r="X44">
        <v>0.32600000000000001</v>
      </c>
      <c r="Y44">
        <v>0.4501</v>
      </c>
      <c r="Z44">
        <v>2.3800000000000002E-2</v>
      </c>
      <c r="AA44">
        <v>2.1899999999999999E-2</v>
      </c>
      <c r="AB44">
        <v>0.89910000000000001</v>
      </c>
      <c r="AC44">
        <v>0.90129999999999999</v>
      </c>
      <c r="AD44">
        <v>0.88739999999999997</v>
      </c>
    </row>
    <row r="45" spans="1:30" x14ac:dyDescent="0.35">
      <c r="A45">
        <v>8</v>
      </c>
      <c r="B45" t="s">
        <v>108</v>
      </c>
      <c r="C45" cm="1">
        <f t="array" ref="C45">SUM(VALUE('Survey D'!AB$3:AB$100))</f>
        <v>14</v>
      </c>
      <c r="D45" cm="1">
        <f t="array" ref="D45">SUM(VALUE('Survey D'!AC$3:AC$100))</f>
        <v>11</v>
      </c>
      <c r="E45">
        <f>COUNTA('Survey D'!$F$3:$F$100)</f>
        <v>4</v>
      </c>
      <c r="F45">
        <v>0</v>
      </c>
      <c r="G45">
        <f t="shared" si="1"/>
        <v>3.5</v>
      </c>
      <c r="H45">
        <f t="shared" si="2"/>
        <v>2.75</v>
      </c>
      <c r="I45">
        <f t="shared" si="4"/>
        <v>0</v>
      </c>
      <c r="J45">
        <f t="shared" si="3"/>
        <v>0</v>
      </c>
      <c r="K45">
        <v>0.97370000000000001</v>
      </c>
      <c r="L45">
        <v>1.4073</v>
      </c>
      <c r="M45">
        <v>0.81010000000000004</v>
      </c>
      <c r="N45">
        <v>0.20610000000000001</v>
      </c>
      <c r="O45">
        <v>1</v>
      </c>
      <c r="P45">
        <v>0.155</v>
      </c>
      <c r="Q45">
        <v>0.6</v>
      </c>
      <c r="R45">
        <v>2.1903000000000001</v>
      </c>
      <c r="S45">
        <v>0.75780000000000003</v>
      </c>
      <c r="T45">
        <v>2.0983000000000001</v>
      </c>
      <c r="U45">
        <v>-4.9431000000000003</v>
      </c>
      <c r="V45">
        <v>1.7464999999999999</v>
      </c>
      <c r="W45">
        <v>1</v>
      </c>
      <c r="X45">
        <v>0.1767</v>
      </c>
      <c r="Y45">
        <v>0.72550000000000003</v>
      </c>
      <c r="Z45">
        <v>0.1031</v>
      </c>
      <c r="AA45">
        <v>0.1018</v>
      </c>
      <c r="AB45">
        <v>0.75670000000000004</v>
      </c>
      <c r="AC45">
        <v>0.78080000000000005</v>
      </c>
      <c r="AD45">
        <v>0.86839999999999995</v>
      </c>
    </row>
    <row r="46" spans="1:30" x14ac:dyDescent="0.35">
      <c r="A46">
        <v>8</v>
      </c>
      <c r="B46" t="s">
        <v>109</v>
      </c>
      <c r="C46" cm="1">
        <f t="array" ref="C46">SUM(VALUE('Survey D'!AE$3:AE$100))</f>
        <v>17</v>
      </c>
      <c r="D46" cm="1">
        <f t="array" ref="D46">SUM(VALUE('Survey D'!AF$3:AF$100))</f>
        <v>15</v>
      </c>
      <c r="E46">
        <f>COUNTA('Survey D'!$F$3:$F$100)</f>
        <v>4</v>
      </c>
      <c r="F46">
        <v>0</v>
      </c>
      <c r="G46">
        <f t="shared" si="1"/>
        <v>4.25</v>
      </c>
      <c r="H46">
        <f t="shared" si="2"/>
        <v>3.75</v>
      </c>
      <c r="I46">
        <f t="shared" si="4"/>
        <v>0</v>
      </c>
      <c r="J46">
        <f t="shared" si="3"/>
        <v>1</v>
      </c>
      <c r="K46">
        <v>1.4829000000000001</v>
      </c>
      <c r="L46">
        <v>0.4869</v>
      </c>
      <c r="M46">
        <v>0.54890000000000005</v>
      </c>
      <c r="N46">
        <v>0.4042</v>
      </c>
      <c r="O46">
        <v>0</v>
      </c>
      <c r="P46">
        <v>0.23469999999999999</v>
      </c>
      <c r="Q46">
        <v>0.77780000000000005</v>
      </c>
      <c r="R46">
        <v>2.0253000000000001</v>
      </c>
      <c r="S46">
        <v>0.83460000000000001</v>
      </c>
      <c r="T46">
        <v>0.89659999999999995</v>
      </c>
      <c r="U46">
        <v>-6.6787000000000001</v>
      </c>
      <c r="V46">
        <v>5.1906999999999996</v>
      </c>
      <c r="W46">
        <v>1</v>
      </c>
      <c r="X46">
        <v>0.31690000000000002</v>
      </c>
      <c r="Y46">
        <v>0.31180000000000002</v>
      </c>
      <c r="Z46">
        <v>5.2999999999999999E-2</v>
      </c>
      <c r="AA46">
        <v>3.2300000000000002E-2</v>
      </c>
      <c r="AB46">
        <v>0.91969999999999996</v>
      </c>
      <c r="AC46">
        <v>0.88380000000000003</v>
      </c>
      <c r="AD46">
        <v>0.87009999999999998</v>
      </c>
    </row>
    <row r="47" spans="1:30" x14ac:dyDescent="0.35">
      <c r="A47">
        <v>8</v>
      </c>
      <c r="B47" t="s">
        <v>110</v>
      </c>
      <c r="C47" cm="1">
        <f t="array" ref="C47">SUM(VALUE('Survey D'!AH$3:AH$100))</f>
        <v>8</v>
      </c>
      <c r="D47" cm="1">
        <f t="array" ref="D47">SUM(VALUE('Survey D'!AI$3:AI$100))</f>
        <v>6</v>
      </c>
      <c r="E47">
        <f>COUNTA('Survey D'!$F$3:$F$100)</f>
        <v>4</v>
      </c>
      <c r="F47">
        <v>4</v>
      </c>
      <c r="G47">
        <f t="shared" si="1"/>
        <v>2</v>
      </c>
      <c r="H47">
        <f t="shared" si="2"/>
        <v>1.5</v>
      </c>
      <c r="I47">
        <f t="shared" si="4"/>
        <v>1</v>
      </c>
      <c r="J47">
        <f t="shared" si="3"/>
        <v>0</v>
      </c>
      <c r="K47">
        <v>0.64829999999999999</v>
      </c>
      <c r="L47">
        <v>1.605</v>
      </c>
      <c r="M47">
        <v>0.75390000000000001</v>
      </c>
      <c r="N47">
        <v>0.20619999999999999</v>
      </c>
      <c r="O47">
        <v>1</v>
      </c>
      <c r="P47">
        <v>0.1484</v>
      </c>
      <c r="Q47">
        <v>0.68179999999999996</v>
      </c>
      <c r="R47">
        <v>2.1551999999999998</v>
      </c>
      <c r="S47">
        <v>0.7903</v>
      </c>
      <c r="T47">
        <v>1.4712000000000001</v>
      </c>
      <c r="U47">
        <v>-4.2744999999999997</v>
      </c>
      <c r="V47">
        <v>3.7991999999999999</v>
      </c>
      <c r="W47">
        <v>1</v>
      </c>
      <c r="X47">
        <v>0.1681</v>
      </c>
      <c r="Y47">
        <v>0.70750000000000002</v>
      </c>
      <c r="Z47">
        <v>0.1197</v>
      </c>
      <c r="AA47">
        <v>0.10100000000000001</v>
      </c>
      <c r="AB47">
        <v>0.59350000000000003</v>
      </c>
      <c r="AC47">
        <v>0.53500000000000003</v>
      </c>
      <c r="AD47">
        <v>0.86909999999999998</v>
      </c>
    </row>
    <row r="48" spans="1:30" x14ac:dyDescent="0.35">
      <c r="A48">
        <v>8</v>
      </c>
      <c r="B48" t="s">
        <v>111</v>
      </c>
      <c r="C48" cm="1">
        <f t="array" ref="C48">SUM(VALUE('Survey D'!Y$3:Y$100))</f>
        <v>16</v>
      </c>
      <c r="D48" cm="1">
        <f t="array" ref="D48">SUM(VALUE('Survey D'!Z$3:Z$100))</f>
        <v>15</v>
      </c>
      <c r="E48">
        <f>COUNTA('Survey D'!$F$3:$F$100)</f>
        <v>4</v>
      </c>
      <c r="F48">
        <v>0</v>
      </c>
      <c r="G48">
        <f t="shared" si="1"/>
        <v>4</v>
      </c>
      <c r="H48">
        <f t="shared" si="2"/>
        <v>3.75</v>
      </c>
      <c r="I48">
        <f t="shared" si="4"/>
        <v>0</v>
      </c>
      <c r="J48">
        <f t="shared" si="3"/>
        <v>1</v>
      </c>
      <c r="K48">
        <v>1.1154999999999999</v>
      </c>
      <c r="L48">
        <v>0</v>
      </c>
      <c r="M48">
        <v>0.36349999999999999</v>
      </c>
      <c r="N48">
        <v>0.58189999999999997</v>
      </c>
      <c r="O48">
        <v>0</v>
      </c>
      <c r="P48">
        <v>0.1724</v>
      </c>
      <c r="Q48">
        <v>0.5</v>
      </c>
      <c r="R48">
        <v>1.4271</v>
      </c>
      <c r="S48">
        <v>0.53869999999999996</v>
      </c>
      <c r="T48">
        <v>0.3468</v>
      </c>
      <c r="U48">
        <v>-3.3742000000000001</v>
      </c>
      <c r="V48">
        <v>3.2875000000000001</v>
      </c>
      <c r="W48">
        <v>0</v>
      </c>
      <c r="X48">
        <v>0.42370000000000002</v>
      </c>
      <c r="Y48">
        <v>0.3095</v>
      </c>
      <c r="Z48">
        <v>1.8100000000000002E-2</v>
      </c>
      <c r="AA48">
        <v>1.6799999999999999E-2</v>
      </c>
      <c r="AB48">
        <v>0.87439999999999996</v>
      </c>
      <c r="AC48">
        <v>0.81630000000000003</v>
      </c>
      <c r="AD48">
        <v>0.88029999999999997</v>
      </c>
    </row>
    <row r="49" spans="1:30" x14ac:dyDescent="0.35">
      <c r="A49">
        <v>8</v>
      </c>
      <c r="B49" t="s">
        <v>112</v>
      </c>
      <c r="C49" cm="1">
        <f t="array" ref="C49">SUM(VALUE('Survey D'!AO$3:AO$100))</f>
        <v>16</v>
      </c>
      <c r="D49" cm="1">
        <f t="array" ref="D49">SUM(VALUE('Survey D'!AP$3:AP$100))</f>
        <v>14</v>
      </c>
      <c r="E49">
        <f>COUNTA('Survey D'!$F$3:$F$100)</f>
        <v>4</v>
      </c>
      <c r="F49" t="s">
        <v>113</v>
      </c>
      <c r="G49">
        <f t="shared" si="1"/>
        <v>4</v>
      </c>
      <c r="H49">
        <f t="shared" si="2"/>
        <v>3.5</v>
      </c>
      <c r="I49">
        <f t="shared" si="4"/>
        <v>0</v>
      </c>
      <c r="J49">
        <f t="shared" si="3"/>
        <v>1</v>
      </c>
      <c r="K49">
        <v>0.76959999999999995</v>
      </c>
      <c r="L49">
        <v>0.48670000000000002</v>
      </c>
      <c r="M49">
        <v>0.73880000000000001</v>
      </c>
      <c r="N49">
        <v>0.61619999999999997</v>
      </c>
      <c r="O49">
        <v>0</v>
      </c>
      <c r="P49">
        <v>0.14810000000000001</v>
      </c>
      <c r="Q49">
        <v>0.72729999999999995</v>
      </c>
      <c r="R49">
        <v>1.8201000000000001</v>
      </c>
      <c r="S49">
        <v>0.63590000000000002</v>
      </c>
      <c r="T49">
        <v>0.75419999999999998</v>
      </c>
      <c r="U49">
        <v>-4.5823999999999998</v>
      </c>
      <c r="V49">
        <v>2.3635999999999999</v>
      </c>
      <c r="W49">
        <v>1</v>
      </c>
      <c r="X49">
        <v>0.3216</v>
      </c>
      <c r="Y49">
        <v>0.70130000000000003</v>
      </c>
      <c r="Z49">
        <v>5.7599999999999998E-2</v>
      </c>
      <c r="AA49">
        <v>3.78E-2</v>
      </c>
      <c r="AB49">
        <v>0.91669999999999996</v>
      </c>
      <c r="AC49">
        <v>0.90069999999999995</v>
      </c>
      <c r="AD49">
        <v>0.85529999999999995</v>
      </c>
    </row>
    <row r="50" spans="1:30" x14ac:dyDescent="0.35">
      <c r="A50">
        <v>9</v>
      </c>
      <c r="B50" t="s">
        <v>107</v>
      </c>
      <c r="C50" s="7" cm="1">
        <f t="array" ref="C50">SUM(VALUE('Survey E'!F$3:F$100))</f>
        <v>11</v>
      </c>
      <c r="D50" s="7" cm="1">
        <f t="array" ref="D50">SUM(VALUE('Survey E'!G$3:G$100))</f>
        <v>13</v>
      </c>
      <c r="E50">
        <f>COUNTA('Survey E'!$F$3:$F$100)</f>
        <v>4</v>
      </c>
      <c r="F50">
        <v>1</v>
      </c>
      <c r="G50">
        <f t="shared" si="1"/>
        <v>2.75</v>
      </c>
      <c r="H50">
        <f t="shared" si="2"/>
        <v>3.25</v>
      </c>
      <c r="I50">
        <f t="shared" si="4"/>
        <v>0</v>
      </c>
      <c r="J50">
        <f t="shared" si="3"/>
        <v>0</v>
      </c>
      <c r="K50">
        <v>0.38479999999999998</v>
      </c>
      <c r="L50">
        <v>1.2381</v>
      </c>
      <c r="M50">
        <v>1.6119000000000001</v>
      </c>
      <c r="N50">
        <v>0.23499999999999999</v>
      </c>
      <c r="O50">
        <v>2</v>
      </c>
      <c r="P50">
        <v>0.71189999999999998</v>
      </c>
      <c r="Q50">
        <v>0.93330000000000002</v>
      </c>
      <c r="R50">
        <v>2.5127000000000002</v>
      </c>
      <c r="S50">
        <v>0.85289999999999999</v>
      </c>
      <c r="T50">
        <v>1.4509000000000001</v>
      </c>
      <c r="U50">
        <v>-4.4298000000000002</v>
      </c>
      <c r="V50">
        <v>3.7155999999999998</v>
      </c>
      <c r="W50">
        <v>0</v>
      </c>
      <c r="X50">
        <v>1.6104000000000001</v>
      </c>
      <c r="Y50">
        <v>0.4224</v>
      </c>
      <c r="Z50">
        <v>2.4199999999999999E-2</v>
      </c>
      <c r="AA50">
        <v>3.4799999999999998E-2</v>
      </c>
      <c r="AB50">
        <v>0.91920000000000002</v>
      </c>
      <c r="AC50">
        <v>0.91069999999999995</v>
      </c>
      <c r="AD50">
        <v>0.89810000000000001</v>
      </c>
    </row>
    <row r="51" spans="1:30" x14ac:dyDescent="0.35">
      <c r="A51">
        <v>9</v>
      </c>
      <c r="B51" t="s">
        <v>108</v>
      </c>
      <c r="C51" cm="1">
        <f t="array" ref="C51">SUM(VALUE('Survey E'!I$3:I$100))</f>
        <v>12</v>
      </c>
      <c r="D51" cm="1">
        <f t="array" ref="D51">SUM(VALUE('Survey E'!J$3:J$100))</f>
        <v>11</v>
      </c>
      <c r="E51">
        <f>COUNTA('Survey E'!$F$3:$F$100)</f>
        <v>4</v>
      </c>
      <c r="F51">
        <v>0</v>
      </c>
      <c r="G51">
        <f t="shared" si="1"/>
        <v>3</v>
      </c>
      <c r="H51">
        <f t="shared" si="2"/>
        <v>2.75</v>
      </c>
      <c r="I51">
        <f t="shared" si="4"/>
        <v>0</v>
      </c>
      <c r="J51">
        <f t="shared" si="3"/>
        <v>0</v>
      </c>
      <c r="K51">
        <v>0.4471</v>
      </c>
      <c r="L51">
        <v>0.76</v>
      </c>
      <c r="M51">
        <v>0.38440000000000002</v>
      </c>
      <c r="N51">
        <v>1.5542</v>
      </c>
      <c r="O51">
        <v>3</v>
      </c>
      <c r="P51">
        <v>0.2054</v>
      </c>
      <c r="Q51">
        <v>0.84209999999999996</v>
      </c>
      <c r="R51">
        <v>2.5537000000000001</v>
      </c>
      <c r="S51">
        <v>0.68959999999999999</v>
      </c>
      <c r="T51">
        <v>1.2597</v>
      </c>
      <c r="U51">
        <v>-4.9349999999999996</v>
      </c>
      <c r="V51">
        <v>3.7728000000000002</v>
      </c>
      <c r="W51">
        <v>0</v>
      </c>
      <c r="X51">
        <v>0.26050000000000001</v>
      </c>
      <c r="Y51">
        <v>1.6535</v>
      </c>
      <c r="Z51">
        <v>3.6799999999999999E-2</v>
      </c>
      <c r="AA51">
        <v>5.6500000000000002E-2</v>
      </c>
      <c r="AB51">
        <v>0.93300000000000005</v>
      </c>
      <c r="AC51">
        <v>0.87670000000000003</v>
      </c>
      <c r="AD51">
        <v>0.91149999999999998</v>
      </c>
    </row>
    <row r="52" spans="1:30" x14ac:dyDescent="0.35">
      <c r="A52">
        <v>9</v>
      </c>
      <c r="B52" t="s">
        <v>109</v>
      </c>
      <c r="C52" cm="1">
        <f t="array" ref="C52">SUM(VALUE('Survey E'!L$3:L$100))</f>
        <v>13</v>
      </c>
      <c r="D52" cm="1">
        <f t="array" ref="D52">SUM(VALUE('Survey E'!M$3:M$100))</f>
        <v>13</v>
      </c>
      <c r="E52">
        <f>COUNTA('Survey E'!$F$3:$F$100)</f>
        <v>4</v>
      </c>
      <c r="F52">
        <v>1</v>
      </c>
      <c r="G52">
        <f t="shared" si="1"/>
        <v>3.25</v>
      </c>
      <c r="H52">
        <f t="shared" si="2"/>
        <v>3.25</v>
      </c>
      <c r="I52">
        <f t="shared" si="4"/>
        <v>0</v>
      </c>
      <c r="J52">
        <f t="shared" si="3"/>
        <v>1</v>
      </c>
      <c r="K52">
        <v>0.38479999999999998</v>
      </c>
      <c r="L52">
        <v>0.58040000000000003</v>
      </c>
      <c r="M52">
        <v>0.4985</v>
      </c>
      <c r="N52">
        <v>1.3937999999999999</v>
      </c>
      <c r="O52">
        <v>1</v>
      </c>
      <c r="P52">
        <v>0.17119999999999999</v>
      </c>
      <c r="Q52">
        <v>0.83330000000000004</v>
      </c>
      <c r="R52">
        <v>2.3607</v>
      </c>
      <c r="S52">
        <v>0.86009999999999998</v>
      </c>
      <c r="T52">
        <v>1.5831</v>
      </c>
      <c r="U52">
        <v>-4.4295999999999998</v>
      </c>
      <c r="V52">
        <v>4.4630000000000001</v>
      </c>
      <c r="W52">
        <v>0</v>
      </c>
      <c r="X52">
        <v>0.34200000000000003</v>
      </c>
      <c r="Y52">
        <v>1.5501</v>
      </c>
      <c r="Z52">
        <v>2.24E-2</v>
      </c>
      <c r="AA52">
        <v>3.4599999999999999E-2</v>
      </c>
      <c r="AB52">
        <v>0.89419999999999999</v>
      </c>
      <c r="AC52">
        <v>0.83209999999999995</v>
      </c>
      <c r="AD52">
        <v>0.89780000000000004</v>
      </c>
    </row>
    <row r="53" spans="1:30" x14ac:dyDescent="0.35">
      <c r="A53">
        <v>9</v>
      </c>
      <c r="B53" t="s">
        <v>110</v>
      </c>
      <c r="C53" cm="1">
        <f t="array" ref="C53">SUM(VALUE('Survey E'!O$3:O$100))</f>
        <v>10</v>
      </c>
      <c r="D53" cm="1">
        <f t="array" ref="D53">SUM(VALUE('Survey E'!P$3:P$100))</f>
        <v>9</v>
      </c>
      <c r="E53">
        <f>COUNTA('Survey E'!$F$3:$F$100)</f>
        <v>4</v>
      </c>
      <c r="F53">
        <v>2</v>
      </c>
      <c r="G53">
        <f t="shared" si="1"/>
        <v>2.5</v>
      </c>
      <c r="H53">
        <f t="shared" si="2"/>
        <v>2.25</v>
      </c>
      <c r="I53">
        <f t="shared" si="4"/>
        <v>1</v>
      </c>
      <c r="J53">
        <f t="shared" si="3"/>
        <v>0</v>
      </c>
      <c r="K53">
        <v>2.6227</v>
      </c>
      <c r="L53">
        <v>0.83660000000000001</v>
      </c>
      <c r="M53">
        <v>0.82079999999999997</v>
      </c>
      <c r="N53">
        <v>0.4667</v>
      </c>
      <c r="O53">
        <v>1</v>
      </c>
      <c r="P53">
        <v>0.68179999999999996</v>
      </c>
      <c r="Q53">
        <v>1</v>
      </c>
      <c r="R53">
        <v>1.0986</v>
      </c>
      <c r="S53">
        <v>0.86439999999999995</v>
      </c>
      <c r="T53">
        <v>0.21340000000000001</v>
      </c>
      <c r="U53">
        <v>-4.0811000000000002</v>
      </c>
      <c r="V53">
        <v>4.625</v>
      </c>
      <c r="W53">
        <v>0</v>
      </c>
      <c r="X53">
        <v>1.1559999999999999</v>
      </c>
      <c r="Y53">
        <v>0.75339999999999996</v>
      </c>
      <c r="Z53">
        <v>4.0599999999999997E-2</v>
      </c>
      <c r="AA53">
        <v>3.4700000000000002E-2</v>
      </c>
      <c r="AB53">
        <v>0.82509999999999994</v>
      </c>
      <c r="AC53">
        <v>0.85909999999999997</v>
      </c>
      <c r="AD53">
        <v>0.90669999999999995</v>
      </c>
    </row>
    <row r="54" spans="1:30" x14ac:dyDescent="0.35">
      <c r="A54">
        <v>9</v>
      </c>
      <c r="B54" t="s">
        <v>111</v>
      </c>
      <c r="C54" cm="1">
        <f t="array" ref="C54">SUM(VALUE('Survey E'!R$3:R136))</f>
        <v>15</v>
      </c>
      <c r="D54" cm="1">
        <f t="array" ref="D54">SUM(VALUE('Survey E'!S$3:S136))</f>
        <v>14</v>
      </c>
      <c r="E54">
        <f>COUNTA('Survey E'!$F$3:$F$100)</f>
        <v>4</v>
      </c>
      <c r="F54">
        <v>0</v>
      </c>
      <c r="G54">
        <f t="shared" si="1"/>
        <v>3.75</v>
      </c>
      <c r="H54">
        <f t="shared" si="2"/>
        <v>3.5</v>
      </c>
      <c r="I54">
        <f t="shared" si="4"/>
        <v>0</v>
      </c>
      <c r="J54">
        <f t="shared" si="3"/>
        <v>1</v>
      </c>
      <c r="K54">
        <v>0.38479999999999998</v>
      </c>
      <c r="L54">
        <v>1.3386</v>
      </c>
      <c r="M54">
        <v>1.2092000000000001</v>
      </c>
      <c r="N54">
        <v>0.31659999999999999</v>
      </c>
      <c r="O54">
        <v>2</v>
      </c>
      <c r="P54">
        <v>0.57689999999999997</v>
      </c>
      <c r="Q54">
        <v>0.9</v>
      </c>
      <c r="R54">
        <v>2.2719</v>
      </c>
      <c r="S54">
        <v>0.8044</v>
      </c>
      <c r="T54">
        <v>0.95050000000000001</v>
      </c>
      <c r="U54">
        <v>-6.5651999999999999</v>
      </c>
      <c r="V54">
        <v>5.45</v>
      </c>
      <c r="W54">
        <v>0</v>
      </c>
      <c r="X54">
        <v>1.2851999999999999</v>
      </c>
      <c r="Y54">
        <v>0.66669999999999996</v>
      </c>
      <c r="Z54">
        <v>4.8899999999999999E-2</v>
      </c>
      <c r="AA54">
        <v>6.0499999999999998E-2</v>
      </c>
      <c r="AB54">
        <v>0.87649999999999995</v>
      </c>
      <c r="AC54">
        <v>0.84550000000000003</v>
      </c>
      <c r="AD54">
        <v>0.90339999999999998</v>
      </c>
    </row>
    <row r="55" spans="1:30" x14ac:dyDescent="0.35">
      <c r="A55">
        <v>9</v>
      </c>
      <c r="B55" t="s">
        <v>112</v>
      </c>
      <c r="C55" cm="1">
        <f t="array" ref="C55">SUM(VALUE('Survey E'!V$3:V$100))</f>
        <v>13</v>
      </c>
      <c r="D55" cm="1">
        <f t="array" ref="D55">SUM(VALUE('Survey E'!W$3:W$100))</f>
        <v>12</v>
      </c>
      <c r="E55">
        <f>COUNTA('Survey E'!$F$3:$F$100)</f>
        <v>4</v>
      </c>
      <c r="F55" t="s">
        <v>113</v>
      </c>
      <c r="G55">
        <f t="shared" si="1"/>
        <v>3.25</v>
      </c>
      <c r="H55">
        <f t="shared" si="2"/>
        <v>3</v>
      </c>
      <c r="I55">
        <f t="shared" si="4"/>
        <v>0</v>
      </c>
      <c r="J55">
        <f t="shared" si="3"/>
        <v>0</v>
      </c>
      <c r="K55">
        <v>1.4193</v>
      </c>
      <c r="L55">
        <v>2.1402000000000001</v>
      </c>
      <c r="M55">
        <v>0.76690000000000003</v>
      </c>
      <c r="N55">
        <v>1.0817000000000001</v>
      </c>
      <c r="O55">
        <v>1</v>
      </c>
      <c r="P55">
        <v>0.27779999999999999</v>
      </c>
      <c r="Q55">
        <v>0.875</v>
      </c>
      <c r="R55">
        <v>2.0432000000000001</v>
      </c>
      <c r="S55">
        <v>1.0913999999999999</v>
      </c>
      <c r="T55">
        <v>0.94110000000000005</v>
      </c>
      <c r="U55">
        <v>-5.5259</v>
      </c>
      <c r="V55">
        <v>2.5853999999999999</v>
      </c>
      <c r="W55">
        <v>0</v>
      </c>
      <c r="X55">
        <v>0.81659999999999999</v>
      </c>
      <c r="Y55">
        <v>1.2294</v>
      </c>
      <c r="Z55">
        <v>0.1109</v>
      </c>
      <c r="AA55">
        <v>0.1144</v>
      </c>
      <c r="AB55">
        <v>0.84789999999999999</v>
      </c>
      <c r="AC55">
        <v>0.85060000000000002</v>
      </c>
      <c r="AD55">
        <v>0.89049999999999996</v>
      </c>
    </row>
    <row r="56" spans="1:30" x14ac:dyDescent="0.35">
      <c r="A56">
        <v>10</v>
      </c>
      <c r="B56" t="s">
        <v>107</v>
      </c>
      <c r="C56" cm="1">
        <f t="array" ref="C56">SUM(VALUE('Survey E'!AK$3:AK$100))</f>
        <v>13</v>
      </c>
      <c r="D56" cm="1">
        <f t="array" ref="D56">SUM(VALUE('Survey E'!AL$3:AL$100))</f>
        <v>12</v>
      </c>
      <c r="E56">
        <f>COUNTA('Survey E'!$F$3:$F$100)</f>
        <v>4</v>
      </c>
      <c r="F56">
        <v>1</v>
      </c>
      <c r="G56">
        <f t="shared" si="1"/>
        <v>3.25</v>
      </c>
      <c r="H56">
        <f t="shared" si="2"/>
        <v>3</v>
      </c>
      <c r="I56">
        <f t="shared" si="4"/>
        <v>0</v>
      </c>
      <c r="J56">
        <f t="shared" si="3"/>
        <v>0</v>
      </c>
      <c r="K56">
        <v>1.5199</v>
      </c>
      <c r="L56">
        <v>0.79579999999999995</v>
      </c>
      <c r="M56">
        <v>0.40439999999999998</v>
      </c>
      <c r="N56">
        <v>0.31669999999999998</v>
      </c>
      <c r="O56">
        <v>1</v>
      </c>
      <c r="P56">
        <v>0.51849999999999996</v>
      </c>
      <c r="Q56">
        <v>1</v>
      </c>
      <c r="R56">
        <v>2.8904000000000001</v>
      </c>
      <c r="S56">
        <v>0.73809999999999998</v>
      </c>
      <c r="T56">
        <v>2.0960000000000001</v>
      </c>
      <c r="U56">
        <v>-4.0819999999999999</v>
      </c>
      <c r="V56">
        <v>4.0353000000000003</v>
      </c>
      <c r="W56">
        <v>1</v>
      </c>
      <c r="X56">
        <v>0.42149999999999999</v>
      </c>
      <c r="Y56">
        <v>0.161</v>
      </c>
      <c r="Z56">
        <v>7.9000000000000008E-3</v>
      </c>
      <c r="AA56">
        <v>1.6E-2</v>
      </c>
      <c r="AB56">
        <v>0.9254</v>
      </c>
      <c r="AC56">
        <v>0.89549999999999996</v>
      </c>
      <c r="AD56">
        <v>0.91959999999999997</v>
      </c>
    </row>
    <row r="57" spans="1:30" x14ac:dyDescent="0.35">
      <c r="A57">
        <v>10</v>
      </c>
      <c r="B57" t="s">
        <v>108</v>
      </c>
      <c r="C57" cm="1">
        <f t="array" ref="C57">SUM(VALUE('Survey E'!AB$3:AB$100))</f>
        <v>14</v>
      </c>
      <c r="D57" cm="1">
        <f t="array" ref="D57">SUM(VALUE('Survey E'!AC$3:AC$100))</f>
        <v>15</v>
      </c>
      <c r="E57">
        <f>COUNTA('Survey E'!$F$3:$F$100)</f>
        <v>4</v>
      </c>
      <c r="F57">
        <v>0</v>
      </c>
      <c r="G57">
        <f t="shared" si="1"/>
        <v>3.5</v>
      </c>
      <c r="H57">
        <f t="shared" si="2"/>
        <v>3.75</v>
      </c>
      <c r="I57">
        <f t="shared" si="4"/>
        <v>0</v>
      </c>
      <c r="J57">
        <f t="shared" si="3"/>
        <v>1</v>
      </c>
      <c r="K57">
        <v>1.5199</v>
      </c>
      <c r="L57">
        <v>0.77969999999999995</v>
      </c>
      <c r="M57">
        <v>0.41020000000000001</v>
      </c>
      <c r="N57">
        <v>0.63829999999999998</v>
      </c>
      <c r="O57">
        <v>1</v>
      </c>
      <c r="P57">
        <v>9.9099999999999994E-2</v>
      </c>
      <c r="Q57">
        <v>0.95</v>
      </c>
      <c r="R57">
        <v>2.6894999999999998</v>
      </c>
      <c r="S57">
        <v>1.1574</v>
      </c>
      <c r="T57">
        <v>2.7248000000000001</v>
      </c>
      <c r="U57">
        <v>-4.2702</v>
      </c>
      <c r="V57">
        <v>4.8083</v>
      </c>
      <c r="W57">
        <v>0</v>
      </c>
      <c r="X57">
        <v>0.27629999999999999</v>
      </c>
      <c r="Y57">
        <v>0.46929999999999999</v>
      </c>
      <c r="Z57">
        <v>8.2000000000000007E-3</v>
      </c>
      <c r="AA57">
        <v>1E-4</v>
      </c>
      <c r="AB57">
        <v>0.93069999999999997</v>
      </c>
      <c r="AC57">
        <v>0.94059999999999999</v>
      </c>
      <c r="AD57">
        <v>0.93579999999999997</v>
      </c>
    </row>
    <row r="58" spans="1:30" x14ac:dyDescent="0.35">
      <c r="A58">
        <v>10</v>
      </c>
      <c r="B58" t="s">
        <v>109</v>
      </c>
      <c r="C58" cm="1">
        <f t="array" ref="C58">SUM(VALUE('Survey E'!AE$3:AE$100))</f>
        <v>13</v>
      </c>
      <c r="D58" cm="1">
        <f t="array" ref="D58">SUM(VALUE('Survey E'!AF$3:AF$100))</f>
        <v>12</v>
      </c>
      <c r="E58">
        <f>COUNTA('Survey E'!$F$3:$F$100)</f>
        <v>4</v>
      </c>
      <c r="F58">
        <v>1</v>
      </c>
      <c r="G58">
        <f t="shared" si="1"/>
        <v>3.25</v>
      </c>
      <c r="H58">
        <f t="shared" si="2"/>
        <v>3</v>
      </c>
      <c r="I58">
        <f t="shared" si="4"/>
        <v>0</v>
      </c>
      <c r="J58">
        <f t="shared" si="3"/>
        <v>0</v>
      </c>
      <c r="K58">
        <v>0.84209999999999996</v>
      </c>
      <c r="L58">
        <v>1.4073</v>
      </c>
      <c r="M58">
        <v>6.25E-2</v>
      </c>
      <c r="N58">
        <v>0.40639999999999998</v>
      </c>
      <c r="O58">
        <v>0</v>
      </c>
      <c r="P58">
        <v>0.77359999999999995</v>
      </c>
      <c r="Q58">
        <v>0.94120000000000004</v>
      </c>
      <c r="R58">
        <v>2.6593</v>
      </c>
      <c r="S58">
        <v>0.98880000000000001</v>
      </c>
      <c r="T58">
        <v>1.6116999999999999</v>
      </c>
      <c r="U58">
        <v>-4.3635999999999999</v>
      </c>
      <c r="V58">
        <v>3.9068999999999998</v>
      </c>
      <c r="W58">
        <v>0</v>
      </c>
      <c r="X58">
        <v>0.3876</v>
      </c>
      <c r="Y58">
        <v>0.1459</v>
      </c>
      <c r="Z58">
        <v>8.2000000000000007E-3</v>
      </c>
      <c r="AA58">
        <v>1E-4</v>
      </c>
      <c r="AB58">
        <v>0.91959999999999997</v>
      </c>
      <c r="AC58">
        <v>0.91949999999999998</v>
      </c>
      <c r="AD58">
        <v>0.93669999999999998</v>
      </c>
    </row>
    <row r="59" spans="1:30" x14ac:dyDescent="0.35">
      <c r="A59">
        <v>10</v>
      </c>
      <c r="B59" t="s">
        <v>110</v>
      </c>
      <c r="C59" cm="1">
        <f t="array" ref="C59">SUM(VALUE('Survey E'!AH$3:AH$100))</f>
        <v>16</v>
      </c>
      <c r="D59" cm="1">
        <f t="array" ref="D59">SUM(VALUE('Survey E'!AI$3:AI$100))</f>
        <v>16</v>
      </c>
      <c r="E59">
        <f>COUNTA('Survey E'!$F$3:$F$100)</f>
        <v>4</v>
      </c>
      <c r="F59">
        <v>0</v>
      </c>
      <c r="G59">
        <f t="shared" si="1"/>
        <v>4</v>
      </c>
      <c r="H59">
        <f t="shared" si="2"/>
        <v>4</v>
      </c>
      <c r="I59">
        <f t="shared" si="4"/>
        <v>0</v>
      </c>
      <c r="J59">
        <f t="shared" si="3"/>
        <v>1</v>
      </c>
      <c r="K59">
        <v>0.84209999999999996</v>
      </c>
      <c r="L59">
        <v>0</v>
      </c>
      <c r="M59">
        <v>0.17280000000000001</v>
      </c>
      <c r="N59">
        <v>0.29020000000000001</v>
      </c>
      <c r="O59">
        <v>0</v>
      </c>
      <c r="P59">
        <v>0.74470000000000003</v>
      </c>
      <c r="Q59">
        <v>1</v>
      </c>
      <c r="R59">
        <v>2.1383000000000001</v>
      </c>
      <c r="S59">
        <v>0.68810000000000004</v>
      </c>
      <c r="T59">
        <v>1.0266</v>
      </c>
      <c r="U59">
        <v>-4.4828000000000001</v>
      </c>
      <c r="V59">
        <v>5.4923999999999999</v>
      </c>
      <c r="W59">
        <v>0</v>
      </c>
      <c r="X59">
        <v>0.40770000000000001</v>
      </c>
      <c r="Y59">
        <v>0.1231</v>
      </c>
      <c r="Z59">
        <v>8.2000000000000007E-3</v>
      </c>
      <c r="AA59">
        <v>1.6199999999999999E-2</v>
      </c>
      <c r="AB59">
        <v>0.81769999999999998</v>
      </c>
      <c r="AC59">
        <v>0.8236</v>
      </c>
      <c r="AD59">
        <v>0.92930000000000001</v>
      </c>
    </row>
    <row r="60" spans="1:30" x14ac:dyDescent="0.35">
      <c r="A60">
        <v>10</v>
      </c>
      <c r="B60" t="s">
        <v>111</v>
      </c>
      <c r="C60" cm="1">
        <f t="array" ref="C60">SUM(VALUE('Survey E'!Y$3:Y$100))</f>
        <v>11</v>
      </c>
      <c r="D60" cm="1">
        <f t="array" ref="D60">SUM(VALUE('Survey E'!Z$3:Z$100))</f>
        <v>11</v>
      </c>
      <c r="E60">
        <f>COUNTA('Survey E'!$F$3:$F$100)</f>
        <v>4</v>
      </c>
      <c r="F60">
        <v>2</v>
      </c>
      <c r="G60">
        <f t="shared" si="1"/>
        <v>2.75</v>
      </c>
      <c r="H60">
        <f t="shared" si="2"/>
        <v>2.75</v>
      </c>
      <c r="I60">
        <f t="shared" si="4"/>
        <v>1</v>
      </c>
      <c r="J60">
        <f t="shared" si="3"/>
        <v>0</v>
      </c>
      <c r="K60">
        <v>1.2170000000000001</v>
      </c>
      <c r="L60">
        <v>1.3177000000000001</v>
      </c>
      <c r="M60">
        <v>0.37059999999999998</v>
      </c>
      <c r="N60">
        <v>0.57599999999999996</v>
      </c>
      <c r="O60">
        <v>0</v>
      </c>
      <c r="P60">
        <v>0.53010000000000002</v>
      </c>
      <c r="Q60">
        <v>0.9</v>
      </c>
      <c r="R60">
        <v>2.2719</v>
      </c>
      <c r="S60">
        <v>0.60189999999999999</v>
      </c>
      <c r="T60">
        <v>0.63749999999999996</v>
      </c>
      <c r="U60">
        <v>-5.2026000000000003</v>
      </c>
      <c r="V60">
        <v>6.5350000000000001</v>
      </c>
      <c r="W60">
        <v>0</v>
      </c>
      <c r="X60">
        <v>0.41549999999999998</v>
      </c>
      <c r="Y60">
        <v>0.14380000000000001</v>
      </c>
      <c r="Z60">
        <v>2.5999999999999999E-2</v>
      </c>
      <c r="AA60">
        <v>3.4000000000000002E-2</v>
      </c>
      <c r="AB60">
        <v>0.80740000000000001</v>
      </c>
      <c r="AC60">
        <v>0.87539999999999996</v>
      </c>
      <c r="AD60">
        <v>0.93010000000000004</v>
      </c>
    </row>
    <row r="61" spans="1:30" x14ac:dyDescent="0.35">
      <c r="A61">
        <v>10</v>
      </c>
      <c r="B61" t="s">
        <v>112</v>
      </c>
      <c r="C61" cm="1">
        <f t="array" ref="C61">SUM(VALUE('Survey E'!AO$3:AO$100))</f>
        <v>14</v>
      </c>
      <c r="D61" cm="1">
        <f t="array" ref="D61">SUM(VALUE('Survey E'!AP$3:AP$100))</f>
        <v>12</v>
      </c>
      <c r="E61">
        <f>COUNTA('Survey E'!$F$3:$F$100)</f>
        <v>4</v>
      </c>
      <c r="F61" t="s">
        <v>113</v>
      </c>
      <c r="G61">
        <f t="shared" si="1"/>
        <v>3.5</v>
      </c>
      <c r="H61">
        <f t="shared" si="2"/>
        <v>3</v>
      </c>
      <c r="I61">
        <f t="shared" si="4"/>
        <v>0</v>
      </c>
      <c r="J61">
        <f t="shared" si="3"/>
        <v>1</v>
      </c>
      <c r="K61">
        <v>1.2283999999999999</v>
      </c>
      <c r="L61">
        <v>0.79579999999999995</v>
      </c>
      <c r="M61">
        <v>0.79149999999999998</v>
      </c>
      <c r="N61">
        <v>0.66190000000000004</v>
      </c>
      <c r="O61">
        <v>1</v>
      </c>
      <c r="P61">
        <v>9.35E-2</v>
      </c>
      <c r="Q61">
        <v>0.88890000000000002</v>
      </c>
      <c r="R61">
        <v>2.7810000000000001</v>
      </c>
      <c r="S61">
        <v>1.1912</v>
      </c>
      <c r="T61">
        <v>2.1446999999999998</v>
      </c>
      <c r="U61">
        <v>-5.0910000000000002</v>
      </c>
      <c r="V61">
        <v>3.4247000000000001</v>
      </c>
      <c r="W61">
        <v>0</v>
      </c>
      <c r="X61">
        <v>0.51680000000000004</v>
      </c>
      <c r="Y61">
        <v>0.69630000000000003</v>
      </c>
      <c r="Z61">
        <v>8.2000000000000007E-3</v>
      </c>
      <c r="AA61">
        <v>1E-4</v>
      </c>
      <c r="AB61">
        <v>0.93700000000000006</v>
      </c>
      <c r="AC61">
        <v>0.91639999999999999</v>
      </c>
      <c r="AD61">
        <v>0.95089999999999997</v>
      </c>
    </row>
    <row r="65" spans="1:4" x14ac:dyDescent="0.35">
      <c r="A65" t="s">
        <v>286</v>
      </c>
      <c r="B65" t="s">
        <v>283</v>
      </c>
      <c r="C65" t="s">
        <v>284</v>
      </c>
    </row>
    <row r="66" spans="1:4" x14ac:dyDescent="0.35">
      <c r="A66" t="s">
        <v>110</v>
      </c>
      <c r="B66">
        <f>AVERAGEIF(B2:B61,"*Bad*",G2:G61)</f>
        <v>2.5649999999999999</v>
      </c>
      <c r="C66">
        <f>AVERAGEIF(B2:B61,"*Bad*",H2:H61)</f>
        <v>2.34</v>
      </c>
      <c r="D66">
        <f>SUMIF(B2:B61,"*Bad*",F2:F61)</f>
        <v>20</v>
      </c>
    </row>
    <row r="67" spans="1:4" x14ac:dyDescent="0.35">
      <c r="A67" t="s">
        <v>109</v>
      </c>
      <c r="B67">
        <f>AVERAGEIF(B2:B61,"Chords",G2:G61)</f>
        <v>3.2350000000000003</v>
      </c>
      <c r="C67">
        <f>AVERAGEIF(B2:B61,"Chords",H2:H61)</f>
        <v>3.125</v>
      </c>
      <c r="D67">
        <f>SUMIF(B2:B61,"Chords",F2:F61)</f>
        <v>7</v>
      </c>
    </row>
    <row r="68" spans="1:4" x14ac:dyDescent="0.35">
      <c r="A68" t="s">
        <v>245</v>
      </c>
      <c r="B68">
        <f>AVERAGEIF(B2:B61,"LLM",G2:G61)</f>
        <v>2.9750000000000001</v>
      </c>
      <c r="C68">
        <f>AVERAGEIF(B2:B61,"LLM",H2:H61)</f>
        <v>3.0349999999999997</v>
      </c>
      <c r="D68">
        <f>SUMIF(B2:B61,"LLM",F2:F61)</f>
        <v>9</v>
      </c>
    </row>
    <row r="69" spans="1:4" x14ac:dyDescent="0.35">
      <c r="A69" t="s">
        <v>108</v>
      </c>
      <c r="B69">
        <f>AVERAGEIF(B2:B61,"Normal",G2:G61)</f>
        <v>3.15</v>
      </c>
      <c r="C69">
        <f>AVERAGEIF(B2:B61,"Normal",H2:H61)</f>
        <v>3.2</v>
      </c>
      <c r="D69">
        <f>SUMIF(B2:B61,"Normal",F2:F61)</f>
        <v>4</v>
      </c>
    </row>
    <row r="70" spans="1:4" x14ac:dyDescent="0.35">
      <c r="A70" t="s">
        <v>107</v>
      </c>
      <c r="B70">
        <f>AVERAGEIF(B2:B61,"Human",G2:G61)</f>
        <v>3.22</v>
      </c>
      <c r="C70">
        <f>AVERAGEIF(B2:B61,"Human",H2:H61)</f>
        <v>3.53</v>
      </c>
      <c r="D70">
        <f>SUMIF(B2:B61,"Human",F2:F61)</f>
        <v>6</v>
      </c>
    </row>
    <row r="71" spans="1:4" x14ac:dyDescent="0.35">
      <c r="A71" t="s">
        <v>112</v>
      </c>
      <c r="B71">
        <f>AVERAGEIF(B2:B61,"AMT",G2:G61)</f>
        <v>2.96</v>
      </c>
      <c r="C71">
        <f>AVERAGEIF(B2:B61,"AMT",H2:H61)</f>
        <v>2.7049999999999996</v>
      </c>
      <c r="D71">
        <f>SUMIF(B2:B61,"AMT",F2:F61)</f>
        <v>0</v>
      </c>
    </row>
    <row r="72" spans="1:4" x14ac:dyDescent="0.35">
      <c r="A72" t="s">
        <v>269</v>
      </c>
      <c r="D72">
        <f>1/5*46</f>
        <v>9.2000000000000011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07DE-8385-4436-9A10-B195204C0ED5}">
  <dimension ref="A1:O50"/>
  <sheetViews>
    <sheetView tabSelected="1" topLeftCell="A18" workbookViewId="0">
      <selection activeCell="O44" sqref="O44"/>
    </sheetView>
  </sheetViews>
  <sheetFormatPr defaultRowHeight="14.5" x14ac:dyDescent="0.35"/>
  <sheetData>
    <row r="1" spans="1:15" x14ac:dyDescent="0.35">
      <c r="A1" t="s">
        <v>287</v>
      </c>
      <c r="B1" t="s">
        <v>107</v>
      </c>
      <c r="C1" t="s">
        <v>112</v>
      </c>
      <c r="D1" t="s">
        <v>293</v>
      </c>
      <c r="E1" t="s">
        <v>294</v>
      </c>
      <c r="F1" t="s">
        <v>295</v>
      </c>
      <c r="H1" t="s">
        <v>107</v>
      </c>
      <c r="I1" t="s">
        <v>112</v>
      </c>
      <c r="J1" t="s">
        <v>293</v>
      </c>
      <c r="K1" t="s">
        <v>294</v>
      </c>
      <c r="L1" t="s">
        <v>295</v>
      </c>
      <c r="N1" t="s">
        <v>300</v>
      </c>
    </row>
    <row r="2" spans="1:15" x14ac:dyDescent="0.35">
      <c r="A2" t="s">
        <v>288</v>
      </c>
      <c r="B2" s="9">
        <f>VALUE('Survey A'!F$3)</f>
        <v>4</v>
      </c>
      <c r="C2">
        <f>VALUE('Survey A'!V$3)</f>
        <v>3</v>
      </c>
      <c r="D2">
        <f>VALUE('Survey A'!I$3)</f>
        <v>3</v>
      </c>
      <c r="E2">
        <f>VALUE('Survey A'!L$3)</f>
        <v>2</v>
      </c>
      <c r="F2">
        <f>VALUE('Survey A'!R$3)</f>
        <v>1</v>
      </c>
      <c r="H2" s="9">
        <f>VALUE('Survey A'!G$3)</f>
        <v>4</v>
      </c>
      <c r="I2">
        <f>VALUE('Survey A'!W$3)</f>
        <v>3</v>
      </c>
      <c r="J2">
        <f>VALUE('Survey A'!J$3)</f>
        <v>2</v>
      </c>
      <c r="K2">
        <f>VALUE('Survey A'!M$3)</f>
        <v>2</v>
      </c>
      <c r="L2">
        <f>VALUE('Survey A'!S$3)</f>
        <v>1</v>
      </c>
      <c r="N2">
        <v>1</v>
      </c>
      <c r="O2" t="s">
        <v>297</v>
      </c>
    </row>
    <row r="3" spans="1:15" x14ac:dyDescent="0.35">
      <c r="A3" t="s">
        <v>288</v>
      </c>
      <c r="B3" s="9">
        <f>VALUE('Survey A'!F$4)</f>
        <v>2</v>
      </c>
      <c r="C3">
        <f>VALUE('Survey A'!V$4)</f>
        <v>4</v>
      </c>
      <c r="D3">
        <f>VALUE('Survey A'!I$4)</f>
        <v>1</v>
      </c>
      <c r="E3">
        <f>VALUE('Survey A'!L$4)</f>
        <v>3</v>
      </c>
      <c r="F3">
        <f>VALUE('Survey A'!R$4)</f>
        <v>5</v>
      </c>
      <c r="H3" s="9">
        <f>VALUE('Survey A'!G$4)</f>
        <v>2</v>
      </c>
      <c r="I3">
        <f>VALUE('Survey A'!W$4)</f>
        <v>5</v>
      </c>
      <c r="J3">
        <f>VALUE('Survey A'!J$4)</f>
        <v>1</v>
      </c>
      <c r="K3">
        <f>VALUE('Survey A'!M$4)</f>
        <v>1</v>
      </c>
      <c r="L3">
        <f>VALUE('Survey A'!S$4)</f>
        <v>5</v>
      </c>
    </row>
    <row r="4" spans="1:15" x14ac:dyDescent="0.35">
      <c r="A4" t="s">
        <v>288</v>
      </c>
      <c r="B4" s="9">
        <f>VALUE('Survey A'!F$5)</f>
        <v>3</v>
      </c>
      <c r="C4">
        <f>VALUE('Survey A'!V$5)</f>
        <v>2</v>
      </c>
      <c r="D4">
        <f>VALUE('Survey A'!I$5)</f>
        <v>4</v>
      </c>
      <c r="E4">
        <f>VALUE('Survey A'!L$5)</f>
        <v>3</v>
      </c>
      <c r="F4">
        <f>VALUE('Survey A'!R$5)</f>
        <v>2</v>
      </c>
      <c r="H4" s="9">
        <f>VALUE('Survey A'!G$5)</f>
        <v>3</v>
      </c>
      <c r="I4">
        <f>VALUE('Survey A'!W$5)</f>
        <v>1</v>
      </c>
      <c r="J4">
        <f>VALUE('Survey A'!J$5)</f>
        <v>4</v>
      </c>
      <c r="K4">
        <f>VALUE('Survey A'!M$5)</f>
        <v>2</v>
      </c>
      <c r="L4">
        <f>VALUE('Survey A'!S$5)</f>
        <v>2</v>
      </c>
    </row>
    <row r="5" spans="1:15" x14ac:dyDescent="0.35">
      <c r="A5" t="s">
        <v>288</v>
      </c>
      <c r="B5" s="9">
        <f>VALUE('Survey A'!F$6)</f>
        <v>4</v>
      </c>
      <c r="C5">
        <f>VALUE('Survey A'!V$6)</f>
        <v>2</v>
      </c>
      <c r="D5">
        <f>VALUE('Survey A'!I$6)</f>
        <v>2</v>
      </c>
      <c r="E5">
        <f>VALUE('Survey A'!L$6)</f>
        <v>2</v>
      </c>
      <c r="F5">
        <f>VALUE('Survey A'!R$6)</f>
        <v>3</v>
      </c>
      <c r="H5" s="9">
        <f>VALUE('Survey A'!G$6)</f>
        <v>3</v>
      </c>
      <c r="I5">
        <f>VALUE('Survey A'!W$6)</f>
        <v>3</v>
      </c>
      <c r="J5">
        <f>VALUE('Survey A'!J$6)</f>
        <v>4</v>
      </c>
      <c r="K5">
        <f>VALUE('Survey A'!M$6)</f>
        <v>1</v>
      </c>
      <c r="L5">
        <f>VALUE('Survey A'!S$6)</f>
        <v>1</v>
      </c>
    </row>
    <row r="6" spans="1:15" x14ac:dyDescent="0.35">
      <c r="A6" t="s">
        <v>288</v>
      </c>
      <c r="B6" s="9">
        <f>VALUE('Survey A'!F$7)</f>
        <v>3</v>
      </c>
      <c r="C6">
        <f>VALUE('Survey A'!V$7)</f>
        <v>4</v>
      </c>
      <c r="D6">
        <f>VALUE('Survey A'!I$7)</f>
        <v>3</v>
      </c>
      <c r="E6">
        <f>VALUE('Survey A'!L$7)</f>
        <v>1</v>
      </c>
      <c r="F6">
        <f>VALUE('Survey A'!R$7)</f>
        <v>3</v>
      </c>
      <c r="H6" s="9">
        <f>VALUE('Survey A'!G$7)</f>
        <v>3</v>
      </c>
      <c r="I6">
        <f>VALUE('Survey A'!W$7)</f>
        <v>3</v>
      </c>
      <c r="J6">
        <f>VALUE('Survey A'!J$7)</f>
        <v>4</v>
      </c>
      <c r="K6">
        <f>VALUE('Survey A'!M$7)</f>
        <v>2</v>
      </c>
      <c r="L6">
        <f>VALUE('Survey A'!S$7)</f>
        <v>3</v>
      </c>
    </row>
    <row r="7" spans="1:15" x14ac:dyDescent="0.35">
      <c r="A7" t="s">
        <v>288</v>
      </c>
      <c r="B7" s="7">
        <f>VALUE('Survey A'!AK3)</f>
        <v>4</v>
      </c>
      <c r="C7">
        <f>VALUE('Survey A'!AO$3)</f>
        <v>2</v>
      </c>
      <c r="D7">
        <f>VALUE('Survey A'!AB$3)</f>
        <v>4</v>
      </c>
      <c r="E7">
        <f>VALUE('Survey A'!AE$3)</f>
        <v>5</v>
      </c>
      <c r="F7">
        <f>VALUE('Survey A'!Y$3)</f>
        <v>3</v>
      </c>
      <c r="H7" s="7">
        <f>VALUE('Survey A'!AL$3)</f>
        <v>4</v>
      </c>
      <c r="I7">
        <f>VALUE('Survey A'!AP$3)</f>
        <v>1</v>
      </c>
      <c r="J7">
        <f>VALUE('Survey A'!AC$3)</f>
        <v>4</v>
      </c>
      <c r="K7">
        <f>VALUE('Survey A'!AF$3)</f>
        <v>5</v>
      </c>
      <c r="L7">
        <f>VALUE('Survey A'!Z$3)</f>
        <v>3</v>
      </c>
      <c r="N7">
        <v>2</v>
      </c>
      <c r="O7" t="s">
        <v>298</v>
      </c>
    </row>
    <row r="8" spans="1:15" x14ac:dyDescent="0.35">
      <c r="A8" t="s">
        <v>288</v>
      </c>
      <c r="B8" s="7">
        <f>VALUE('Survey A'!AK4)</f>
        <v>5</v>
      </c>
      <c r="C8">
        <f>VALUE('Survey A'!AO$4)</f>
        <v>4</v>
      </c>
      <c r="D8">
        <f>VALUE('Survey A'!AB$4)</f>
        <v>4</v>
      </c>
      <c r="E8">
        <f>VALUE('Survey A'!AE$4)</f>
        <v>5</v>
      </c>
      <c r="F8">
        <f>VALUE('Survey A'!Y$4)</f>
        <v>2</v>
      </c>
      <c r="H8" s="7">
        <f>VALUE('Survey A'!AL$4)</f>
        <v>5</v>
      </c>
      <c r="I8">
        <f>VALUE('Survey A'!AP$4)</f>
        <v>4</v>
      </c>
      <c r="J8">
        <f>VALUE('Survey A'!AC$4)</f>
        <v>2</v>
      </c>
      <c r="K8">
        <f>VALUE('Survey A'!AF$4)</f>
        <v>5</v>
      </c>
      <c r="L8">
        <f>VALUE('Survey A'!Z$4)</f>
        <v>2</v>
      </c>
    </row>
    <row r="9" spans="1:15" x14ac:dyDescent="0.35">
      <c r="A9" t="s">
        <v>288</v>
      </c>
      <c r="B9" s="7">
        <f>VALUE('Survey A'!AK5)</f>
        <v>4</v>
      </c>
      <c r="C9">
        <f>VALUE('Survey A'!AO$5)</f>
        <v>2</v>
      </c>
      <c r="D9">
        <f>VALUE('Survey A'!AB$5)</f>
        <v>3</v>
      </c>
      <c r="E9">
        <f>VALUE('Survey A'!AE$5)</f>
        <v>3</v>
      </c>
      <c r="F9">
        <f>VALUE('Survey A'!Y$5)</f>
        <v>4</v>
      </c>
      <c r="H9" s="7">
        <f>VALUE('Survey A'!AL$5)</f>
        <v>4</v>
      </c>
      <c r="I9">
        <f>VALUE('Survey A'!AP$5)</f>
        <v>2</v>
      </c>
      <c r="J9">
        <f>VALUE('Survey A'!AC$5)</f>
        <v>3</v>
      </c>
      <c r="K9">
        <f>VALUE('Survey A'!AF$5)</f>
        <v>4</v>
      </c>
      <c r="L9">
        <f>VALUE('Survey A'!Z$5)</f>
        <v>4</v>
      </c>
    </row>
    <row r="10" spans="1:15" x14ac:dyDescent="0.35">
      <c r="A10" t="s">
        <v>288</v>
      </c>
      <c r="B10" s="7">
        <f>VALUE('Survey A'!AK6)</f>
        <v>4</v>
      </c>
      <c r="C10">
        <f>VALUE('Survey A'!AO$6)</f>
        <v>4</v>
      </c>
      <c r="D10">
        <f>VALUE('Survey A'!AB$6)</f>
        <v>3</v>
      </c>
      <c r="E10">
        <f>VALUE('Survey A'!AE$6)</f>
        <v>5</v>
      </c>
      <c r="F10">
        <f>VALUE('Survey A'!Y$6)</f>
        <v>4</v>
      </c>
      <c r="H10" s="7">
        <f>VALUE('Survey A'!AL$6)</f>
        <v>5</v>
      </c>
      <c r="I10">
        <f>VALUE('Survey A'!AP$6)</f>
        <v>3</v>
      </c>
      <c r="J10">
        <f>VALUE('Survey A'!AC$6)</f>
        <v>4</v>
      </c>
      <c r="K10">
        <f>VALUE('Survey A'!AF$6)</f>
        <v>5</v>
      </c>
      <c r="L10">
        <f>VALUE('Survey A'!Z$6)</f>
        <v>5</v>
      </c>
    </row>
    <row r="11" spans="1:15" x14ac:dyDescent="0.35">
      <c r="A11" t="s">
        <v>288</v>
      </c>
      <c r="B11" s="7">
        <f>VALUE('Survey A'!AK7)</f>
        <v>4</v>
      </c>
      <c r="C11">
        <f>VALUE('Survey A'!AO$7)</f>
        <v>4</v>
      </c>
      <c r="D11">
        <f>VALUE('Survey A'!AB$7)</f>
        <v>5</v>
      </c>
      <c r="E11">
        <f>VALUE('Survey A'!AE$7)</f>
        <v>5</v>
      </c>
      <c r="F11">
        <f>VALUE('Survey A'!Y$7)</f>
        <v>4</v>
      </c>
      <c r="H11" s="7">
        <f>VALUE('Survey A'!AL$7)</f>
        <v>5</v>
      </c>
      <c r="I11">
        <f>VALUE('Survey A'!AP$7)</f>
        <v>3</v>
      </c>
      <c r="J11">
        <f>VALUE('Survey A'!AC$7)</f>
        <v>4</v>
      </c>
      <c r="K11">
        <f>VALUE('Survey A'!AF$7)</f>
        <v>5</v>
      </c>
      <c r="L11">
        <f>VALUE('Survey A'!Z$7)</f>
        <v>5</v>
      </c>
    </row>
    <row r="12" spans="1:15" x14ac:dyDescent="0.35">
      <c r="A12" t="s">
        <v>289</v>
      </c>
      <c r="B12" s="7">
        <f>VALUE('Survey B'!F3)</f>
        <v>3</v>
      </c>
      <c r="C12">
        <f>VALUE('Survey B'!V$3)</f>
        <v>2</v>
      </c>
      <c r="D12">
        <f>VALUE('Survey B'!I$3)</f>
        <v>4</v>
      </c>
      <c r="E12">
        <f>VALUE('Survey B'!L$3)</f>
        <v>1</v>
      </c>
      <c r="F12">
        <f>VALUE('Survey B'!R$3)</f>
        <v>2</v>
      </c>
      <c r="H12" s="7">
        <f>VALUE('Survey B'!L3)</f>
        <v>1</v>
      </c>
      <c r="I12">
        <f>VALUE('Survey B'!W$3)</f>
        <v>1</v>
      </c>
      <c r="J12">
        <f>VALUE('Survey B'!J$3)</f>
        <v>5</v>
      </c>
      <c r="K12">
        <f>VALUE('Survey B'!M$3)</f>
        <v>1</v>
      </c>
      <c r="L12">
        <f>VALUE('Survey B'!S$3)</f>
        <v>3</v>
      </c>
      <c r="N12">
        <v>3</v>
      </c>
      <c r="O12" t="s">
        <v>299</v>
      </c>
    </row>
    <row r="13" spans="1:15" x14ac:dyDescent="0.35">
      <c r="A13" t="s">
        <v>289</v>
      </c>
      <c r="B13" s="7">
        <f>VALUE('Survey B'!F4)</f>
        <v>2</v>
      </c>
      <c r="C13">
        <f>VALUE('Survey B'!V$4)</f>
        <v>3</v>
      </c>
      <c r="D13">
        <f>VALUE('Survey B'!I$4)</f>
        <v>4</v>
      </c>
      <c r="E13">
        <f>VALUE('Survey B'!L$4)</f>
        <v>1</v>
      </c>
      <c r="F13">
        <f>VALUE('Survey B'!R$4)</f>
        <v>4</v>
      </c>
      <c r="H13" s="7">
        <f>VALUE('Survey B'!L4)</f>
        <v>1</v>
      </c>
      <c r="I13">
        <f>VALUE('Survey B'!W$4)</f>
        <v>5</v>
      </c>
      <c r="J13">
        <f>VALUE('Survey B'!J$4)</f>
        <v>4</v>
      </c>
      <c r="K13">
        <f>VALUE('Survey B'!M$4)</f>
        <v>2</v>
      </c>
      <c r="L13">
        <f>VALUE('Survey B'!S$4)</f>
        <v>5</v>
      </c>
    </row>
    <row r="14" spans="1:15" x14ac:dyDescent="0.35">
      <c r="A14" t="s">
        <v>289</v>
      </c>
      <c r="B14" s="7">
        <f>VALUE('Survey B'!F5)</f>
        <v>1</v>
      </c>
      <c r="C14">
        <f>VALUE('Survey B'!V$5)</f>
        <v>1</v>
      </c>
      <c r="D14">
        <f>VALUE('Survey B'!I$5)</f>
        <v>1</v>
      </c>
      <c r="E14">
        <f>VALUE('Survey B'!L$5)</f>
        <v>1</v>
      </c>
      <c r="F14">
        <f>VALUE('Survey B'!R$5)</f>
        <v>1</v>
      </c>
      <c r="H14" s="7">
        <f>VALUE('Survey B'!L5)</f>
        <v>1</v>
      </c>
      <c r="I14">
        <f>VALUE('Survey B'!W$5)</f>
        <v>1</v>
      </c>
      <c r="J14">
        <f>VALUE('Survey B'!J$5)</f>
        <v>3</v>
      </c>
      <c r="K14">
        <f>VALUE('Survey B'!M$5)</f>
        <v>1</v>
      </c>
      <c r="L14">
        <f>VALUE('Survey B'!S$5)</f>
        <v>4</v>
      </c>
    </row>
    <row r="15" spans="1:15" x14ac:dyDescent="0.35">
      <c r="A15" t="s">
        <v>289</v>
      </c>
      <c r="B15" s="7">
        <f>VALUE('Survey B'!F6)</f>
        <v>4</v>
      </c>
      <c r="C15">
        <f>VALUE('Survey B'!V$6)</f>
        <v>3</v>
      </c>
      <c r="D15">
        <f>VALUE('Survey B'!I$6)</f>
        <v>4</v>
      </c>
      <c r="E15">
        <f>VALUE('Survey B'!L$6)</f>
        <v>2</v>
      </c>
      <c r="F15">
        <f>VALUE('Survey B'!R$6)</f>
        <v>4</v>
      </c>
      <c r="H15" s="7">
        <f>VALUE('Survey B'!L6)</f>
        <v>2</v>
      </c>
      <c r="I15">
        <f>VALUE('Survey B'!W$6)</f>
        <v>2</v>
      </c>
      <c r="J15">
        <f>VALUE('Survey B'!J$6)</f>
        <v>4</v>
      </c>
      <c r="K15">
        <f>VALUE('Survey B'!M$6)</f>
        <v>2</v>
      </c>
      <c r="L15">
        <f>VALUE('Survey B'!S$6)</f>
        <v>3</v>
      </c>
    </row>
    <row r="16" spans="1:15" x14ac:dyDescent="0.35">
      <c r="A16" t="s">
        <v>289</v>
      </c>
      <c r="B16" s="7">
        <f>VALUE('Survey B'!F7)</f>
        <v>2</v>
      </c>
      <c r="C16">
        <f>VALUE('Survey B'!V$7)</f>
        <v>1</v>
      </c>
      <c r="D16">
        <f>VALUE('Survey B'!I$7)</f>
        <v>4</v>
      </c>
      <c r="E16">
        <f>VALUE('Survey B'!L$7)</f>
        <v>3</v>
      </c>
      <c r="F16">
        <f>VALUE('Survey B'!R$7)</f>
        <v>1</v>
      </c>
      <c r="H16" s="7">
        <f>VALUE('Survey B'!L7)</f>
        <v>3</v>
      </c>
      <c r="I16">
        <f>VALUE('Survey B'!W$7)</f>
        <v>1</v>
      </c>
      <c r="J16">
        <f>VALUE('Survey B'!J$7)</f>
        <v>4</v>
      </c>
      <c r="K16">
        <f>VALUE('Survey B'!M$7)</f>
        <v>2</v>
      </c>
      <c r="L16">
        <f>VALUE('Survey B'!S$7)</f>
        <v>2</v>
      </c>
    </row>
    <row r="17" spans="1:15" x14ac:dyDescent="0.35">
      <c r="A17" t="s">
        <v>289</v>
      </c>
      <c r="B17" s="7">
        <f>VALUE('Survey B'!AK$3)</f>
        <v>4</v>
      </c>
      <c r="C17">
        <f>VALUE('Survey B'!AO$3)</f>
        <v>2</v>
      </c>
      <c r="D17">
        <f>VALUE('Survey B'!AB$3)</f>
        <v>2</v>
      </c>
      <c r="E17">
        <f>VALUE('Survey B'!AE$3)</f>
        <v>2</v>
      </c>
      <c r="F17">
        <f>VALUE('Survey B'!Y$3)</f>
        <v>2</v>
      </c>
      <c r="H17" s="7">
        <f>VALUE('Survey B'!AL$3)</f>
        <v>5</v>
      </c>
      <c r="I17">
        <f>VALUE('Survey B'!AP$3)</f>
        <v>1</v>
      </c>
      <c r="J17">
        <f>VALUE('Survey B'!AC$3)</f>
        <v>4</v>
      </c>
      <c r="K17">
        <f>VALUE('Survey B'!AF$3)</f>
        <v>3</v>
      </c>
      <c r="L17">
        <f>VALUE('Survey B'!Z$3)</f>
        <v>1</v>
      </c>
      <c r="N17">
        <v>4</v>
      </c>
      <c r="O17" t="s">
        <v>301</v>
      </c>
    </row>
    <row r="18" spans="1:15" x14ac:dyDescent="0.35">
      <c r="A18" t="s">
        <v>289</v>
      </c>
      <c r="B18" s="7">
        <f>VALUE('Survey B'!AK$4)</f>
        <v>4</v>
      </c>
      <c r="C18">
        <f>VALUE('Survey B'!AO$4)</f>
        <v>1</v>
      </c>
      <c r="D18">
        <f>VALUE('Survey B'!AB$4)</f>
        <v>4</v>
      </c>
      <c r="E18">
        <f>VALUE('Survey B'!AE$4)</f>
        <v>2</v>
      </c>
      <c r="F18">
        <f>VALUE('Survey B'!Y$4)</f>
        <v>2</v>
      </c>
      <c r="H18" s="7">
        <f>VALUE('Survey B'!AL$4)</f>
        <v>2</v>
      </c>
      <c r="I18">
        <f>VALUE('Survey B'!AP$4)</f>
        <v>2</v>
      </c>
      <c r="J18">
        <f>VALUE('Survey B'!AC$4)</f>
        <v>5</v>
      </c>
      <c r="K18">
        <f>VALUE('Survey B'!AF$4)</f>
        <v>1</v>
      </c>
      <c r="L18">
        <f>VALUE('Survey B'!Z$4)</f>
        <v>4</v>
      </c>
    </row>
    <row r="19" spans="1:15" x14ac:dyDescent="0.35">
      <c r="A19" t="s">
        <v>289</v>
      </c>
      <c r="B19" s="7">
        <f>VALUE('Survey B'!AK$5)</f>
        <v>1</v>
      </c>
      <c r="C19">
        <f>VALUE('Survey B'!AO$5)</f>
        <v>1</v>
      </c>
      <c r="D19">
        <f>VALUE('Survey B'!AB$5)</f>
        <v>1</v>
      </c>
      <c r="E19">
        <f>VALUE('Survey B'!AE$5)</f>
        <v>3</v>
      </c>
      <c r="F19">
        <f>VALUE('Survey B'!Y$5)</f>
        <v>1</v>
      </c>
      <c r="H19" s="7">
        <f>VALUE('Survey B'!AL$5)</f>
        <v>5</v>
      </c>
      <c r="I19">
        <f>VALUE('Survey B'!AP$5)</f>
        <v>1</v>
      </c>
      <c r="J19">
        <f>VALUE('Survey B'!AC$5)</f>
        <v>5</v>
      </c>
      <c r="K19">
        <f>VALUE('Survey B'!AF$5)</f>
        <v>3</v>
      </c>
      <c r="L19">
        <f>VALUE('Survey B'!Z$5)</f>
        <v>1</v>
      </c>
    </row>
    <row r="20" spans="1:15" x14ac:dyDescent="0.35">
      <c r="A20" t="s">
        <v>289</v>
      </c>
      <c r="B20" s="7">
        <f>VALUE('Survey B'!AK$6)</f>
        <v>4</v>
      </c>
      <c r="C20">
        <f>VALUE('Survey B'!AO$6)</f>
        <v>1</v>
      </c>
      <c r="D20">
        <f>VALUE('Survey B'!AB$6)</f>
        <v>3</v>
      </c>
      <c r="E20">
        <f>VALUE('Survey B'!AE$6)</f>
        <v>2</v>
      </c>
      <c r="F20">
        <f>VALUE('Survey B'!Y$6)</f>
        <v>3</v>
      </c>
      <c r="H20" s="7">
        <f>VALUE('Survey B'!AL$6)</f>
        <v>4</v>
      </c>
      <c r="I20">
        <f>VALUE('Survey B'!AP$6)</f>
        <v>1</v>
      </c>
      <c r="J20">
        <f>VALUE('Survey B'!AC$6)</f>
        <v>3</v>
      </c>
      <c r="K20">
        <f>VALUE('Survey B'!AF$6)</f>
        <v>3</v>
      </c>
      <c r="L20">
        <f>VALUE('Survey B'!Z$6)</f>
        <v>3</v>
      </c>
    </row>
    <row r="21" spans="1:15" x14ac:dyDescent="0.35">
      <c r="A21" t="s">
        <v>289</v>
      </c>
      <c r="B21" s="7">
        <f>VALUE('Survey B'!AK$7)</f>
        <v>2</v>
      </c>
      <c r="C21">
        <f>VALUE('Survey B'!AO$7)</f>
        <v>2</v>
      </c>
      <c r="D21">
        <f>VALUE('Survey B'!AB$7)</f>
        <v>2</v>
      </c>
      <c r="E21">
        <f>VALUE('Survey B'!AE$7)</f>
        <v>2</v>
      </c>
      <c r="F21">
        <f>VALUE('Survey B'!Y$7)</f>
        <v>1</v>
      </c>
      <c r="H21" s="7">
        <f>VALUE('Survey B'!AL$7)</f>
        <v>1</v>
      </c>
      <c r="I21">
        <f>VALUE('Survey B'!AP$7)</f>
        <v>1</v>
      </c>
      <c r="J21">
        <f>VALUE('Survey B'!AC$7)</f>
        <v>3</v>
      </c>
      <c r="K21">
        <f>VALUE('Survey B'!AF$7)</f>
        <v>1</v>
      </c>
      <c r="L21">
        <f>VALUE('Survey B'!Z$7)</f>
        <v>1</v>
      </c>
    </row>
    <row r="22" spans="1:15" x14ac:dyDescent="0.35">
      <c r="A22" s="7" t="s">
        <v>290</v>
      </c>
      <c r="B22" s="9">
        <f>VALUE('Survey C'!F$3)</f>
        <v>2</v>
      </c>
      <c r="C22">
        <f>VALUE('Survey C'!V$3)</f>
        <v>2</v>
      </c>
      <c r="D22">
        <f>VALUE('Survey C'!I$3)</f>
        <v>4</v>
      </c>
      <c r="E22">
        <f>VALUE('Survey C'!L$3)</f>
        <v>2</v>
      </c>
      <c r="F22">
        <f>VALUE('Survey C'!R$3)</f>
        <v>5</v>
      </c>
      <c r="H22" s="9">
        <f>VALUE('Survey C'!G$3)</f>
        <v>3</v>
      </c>
      <c r="I22">
        <f>VALUE('Survey C'!W$3)</f>
        <v>2</v>
      </c>
      <c r="J22">
        <f>VALUE('Survey C'!J$3)</f>
        <v>4</v>
      </c>
      <c r="K22">
        <f>VALUE('Survey C'!M$3)</f>
        <v>2</v>
      </c>
      <c r="L22">
        <f>VALUE('Survey C'!S$3)</f>
        <v>5</v>
      </c>
      <c r="N22">
        <v>5</v>
      </c>
      <c r="O22" t="s">
        <v>302</v>
      </c>
    </row>
    <row r="23" spans="1:15" x14ac:dyDescent="0.35">
      <c r="A23" s="7" t="s">
        <v>290</v>
      </c>
      <c r="B23" s="9">
        <f>VALUE('Survey C'!F$4)</f>
        <v>3</v>
      </c>
      <c r="C23">
        <f>VALUE('Survey C'!V$4)</f>
        <v>3</v>
      </c>
      <c r="D23">
        <f>VALUE('Survey C'!I$4)</f>
        <v>4</v>
      </c>
      <c r="E23">
        <f>VALUE('Survey C'!L$4)</f>
        <v>4</v>
      </c>
      <c r="F23">
        <f>VALUE('Survey C'!R$4)</f>
        <v>3</v>
      </c>
      <c r="H23" s="9">
        <f>VALUE('Survey C'!G$4)</f>
        <v>3</v>
      </c>
      <c r="I23">
        <f>VALUE('Survey C'!W$4)</f>
        <v>3</v>
      </c>
      <c r="J23">
        <f>VALUE('Survey C'!J$4)</f>
        <v>4</v>
      </c>
      <c r="K23">
        <f>VALUE('Survey C'!M$4)</f>
        <v>3</v>
      </c>
      <c r="L23">
        <f>VALUE('Survey C'!S$4)</f>
        <v>3</v>
      </c>
    </row>
    <row r="24" spans="1:15" x14ac:dyDescent="0.35">
      <c r="A24" s="7" t="s">
        <v>290</v>
      </c>
      <c r="B24" s="9">
        <f>VALUE('Survey C'!F$5)</f>
        <v>2</v>
      </c>
      <c r="C24">
        <f>VALUE('Survey C'!V$5)</f>
        <v>4</v>
      </c>
      <c r="D24">
        <f>VALUE('Survey C'!I$5)</f>
        <v>3</v>
      </c>
      <c r="E24">
        <f>VALUE('Survey C'!L$5)</f>
        <v>4</v>
      </c>
      <c r="F24">
        <f>VALUE('Survey C'!R$5)</f>
        <v>3</v>
      </c>
      <c r="H24" s="9">
        <f>VALUE('Survey C'!G$5)</f>
        <v>2</v>
      </c>
      <c r="I24">
        <f>VALUE('Survey C'!W$5)</f>
        <v>4</v>
      </c>
      <c r="J24">
        <f>VALUE('Survey C'!J$5)</f>
        <v>2</v>
      </c>
      <c r="K24">
        <f>VALUE('Survey C'!M$5)</f>
        <v>4</v>
      </c>
      <c r="L24">
        <f>VALUE('Survey C'!S$5)</f>
        <v>3</v>
      </c>
    </row>
    <row r="25" spans="1:15" x14ac:dyDescent="0.35">
      <c r="A25" s="7" t="s">
        <v>290</v>
      </c>
      <c r="B25" s="9">
        <f>VALUE('Survey C'!F$6)</f>
        <v>3</v>
      </c>
      <c r="C25">
        <f>VALUE('Survey C'!V$6)</f>
        <v>2</v>
      </c>
      <c r="D25">
        <f>VALUE('Survey C'!I$6)</f>
        <v>4</v>
      </c>
      <c r="E25">
        <f>VALUE('Survey C'!L$6)</f>
        <v>3</v>
      </c>
      <c r="F25">
        <f>VALUE('Survey C'!R$6)</f>
        <v>5</v>
      </c>
      <c r="H25" s="9">
        <f>VALUE('Survey C'!G$6)</f>
        <v>3</v>
      </c>
      <c r="I25">
        <f>VALUE('Survey C'!W$6)</f>
        <v>2</v>
      </c>
      <c r="J25">
        <f>VALUE('Survey C'!J$6)</f>
        <v>4</v>
      </c>
      <c r="K25">
        <f>VALUE('Survey C'!M$6)</f>
        <v>3</v>
      </c>
      <c r="L25">
        <f>VALUE('Survey C'!S$6)</f>
        <v>5</v>
      </c>
    </row>
    <row r="26" spans="1:15" x14ac:dyDescent="0.35">
      <c r="A26" s="7" t="s">
        <v>290</v>
      </c>
      <c r="B26" s="9">
        <f>VALUE('Survey C'!F$7)</f>
        <v>3</v>
      </c>
      <c r="C26">
        <f>VALUE('Survey C'!V$7)</f>
        <v>3</v>
      </c>
      <c r="D26">
        <f>VALUE('Survey C'!I$7)</f>
        <v>4</v>
      </c>
      <c r="E26">
        <f>VALUE('Survey C'!L$7)</f>
        <v>2</v>
      </c>
      <c r="F26">
        <f>VALUE('Survey C'!R$7)</f>
        <v>2</v>
      </c>
      <c r="H26" s="9">
        <f>VALUE('Survey C'!G$7)</f>
        <v>3</v>
      </c>
      <c r="I26">
        <f>VALUE('Survey C'!W$7)</f>
        <v>3</v>
      </c>
      <c r="J26">
        <f>VALUE('Survey C'!J$7)</f>
        <v>4</v>
      </c>
      <c r="K26">
        <f>VALUE('Survey C'!M$7)</f>
        <v>3</v>
      </c>
      <c r="L26">
        <f>VALUE('Survey C'!S$7)</f>
        <v>3</v>
      </c>
    </row>
    <row r="27" spans="1:15" x14ac:dyDescent="0.35">
      <c r="A27" s="7" t="s">
        <v>290</v>
      </c>
      <c r="B27" s="7">
        <f>VALUE('Survey B'!AK$3)</f>
        <v>4</v>
      </c>
      <c r="C27">
        <f>VALUE('Survey B'!AO$3)</f>
        <v>2</v>
      </c>
      <c r="D27">
        <f>VALUE('Survey B'!AB$3)</f>
        <v>2</v>
      </c>
      <c r="E27">
        <f>VALUE('Survey B'!AE$3)</f>
        <v>2</v>
      </c>
      <c r="F27">
        <f>VALUE('Survey B'!Y$3)</f>
        <v>2</v>
      </c>
      <c r="H27" s="7">
        <f>VALUE('Survey B'!AL$3)</f>
        <v>5</v>
      </c>
      <c r="I27">
        <f>VALUE('Survey B'!AP$3)</f>
        <v>1</v>
      </c>
      <c r="J27">
        <f>VALUE('Survey B'!AC$3)</f>
        <v>4</v>
      </c>
      <c r="K27">
        <f>VALUE('Survey B'!AF$3)</f>
        <v>3</v>
      </c>
      <c r="L27">
        <f>VALUE('Survey B'!Z$3)</f>
        <v>1</v>
      </c>
      <c r="N27">
        <v>6</v>
      </c>
      <c r="O27" t="s">
        <v>303</v>
      </c>
    </row>
    <row r="28" spans="1:15" x14ac:dyDescent="0.35">
      <c r="A28" s="7" t="s">
        <v>290</v>
      </c>
      <c r="B28" s="7">
        <f>VALUE('Survey B'!AK$4)</f>
        <v>4</v>
      </c>
      <c r="C28">
        <f>VALUE('Survey B'!AO$4)</f>
        <v>1</v>
      </c>
      <c r="D28">
        <f>VALUE('Survey B'!AB$4)</f>
        <v>4</v>
      </c>
      <c r="E28">
        <f>VALUE('Survey B'!AE$4)</f>
        <v>2</v>
      </c>
      <c r="F28">
        <f>VALUE('Survey B'!Y$4)</f>
        <v>2</v>
      </c>
      <c r="H28" s="7">
        <f>VALUE('Survey B'!AL$4)</f>
        <v>2</v>
      </c>
      <c r="I28">
        <f>VALUE('Survey B'!AP$4)</f>
        <v>2</v>
      </c>
      <c r="J28">
        <f>VALUE('Survey B'!AC$4)</f>
        <v>5</v>
      </c>
      <c r="K28">
        <f>VALUE('Survey B'!AF$4)</f>
        <v>1</v>
      </c>
      <c r="L28">
        <f>VALUE('Survey B'!Z$4)</f>
        <v>4</v>
      </c>
    </row>
    <row r="29" spans="1:15" x14ac:dyDescent="0.35">
      <c r="A29" s="7" t="s">
        <v>290</v>
      </c>
      <c r="B29" s="7">
        <f>VALUE('Survey B'!AK$5)</f>
        <v>1</v>
      </c>
      <c r="C29">
        <f>VALUE('Survey B'!AO$5)</f>
        <v>1</v>
      </c>
      <c r="D29">
        <f>VALUE('Survey B'!AB$5)</f>
        <v>1</v>
      </c>
      <c r="E29">
        <f>VALUE('Survey B'!AE$5)</f>
        <v>3</v>
      </c>
      <c r="F29">
        <f>VALUE('Survey B'!Y$5)</f>
        <v>1</v>
      </c>
      <c r="H29" s="7">
        <f>VALUE('Survey B'!AL$5)</f>
        <v>5</v>
      </c>
      <c r="I29">
        <f>VALUE('Survey B'!AP$5)</f>
        <v>1</v>
      </c>
      <c r="J29">
        <f>VALUE('Survey B'!AC$5)</f>
        <v>5</v>
      </c>
      <c r="K29">
        <f>VALUE('Survey B'!AF$5)</f>
        <v>3</v>
      </c>
      <c r="L29">
        <f>VALUE('Survey B'!Z$5)</f>
        <v>1</v>
      </c>
    </row>
    <row r="30" spans="1:15" x14ac:dyDescent="0.35">
      <c r="A30" s="7" t="s">
        <v>290</v>
      </c>
      <c r="B30" s="7">
        <f>VALUE('Survey B'!AK$6)</f>
        <v>4</v>
      </c>
      <c r="C30">
        <f>VALUE('Survey B'!AO$6)</f>
        <v>1</v>
      </c>
      <c r="D30">
        <f>VALUE('Survey B'!AB$6)</f>
        <v>3</v>
      </c>
      <c r="E30">
        <f>VALUE('Survey B'!AE$6)</f>
        <v>2</v>
      </c>
      <c r="F30">
        <f>VALUE('Survey B'!Y$6)</f>
        <v>3</v>
      </c>
      <c r="H30" s="7">
        <f>VALUE('Survey B'!AL$6)</f>
        <v>4</v>
      </c>
      <c r="I30">
        <f>VALUE('Survey B'!AP$6)</f>
        <v>1</v>
      </c>
      <c r="J30">
        <f>VALUE('Survey B'!AC$6)</f>
        <v>3</v>
      </c>
      <c r="K30">
        <f>VALUE('Survey B'!AF$6)</f>
        <v>3</v>
      </c>
      <c r="L30">
        <f>VALUE('Survey B'!Z$6)</f>
        <v>3</v>
      </c>
    </row>
    <row r="31" spans="1:15" x14ac:dyDescent="0.35">
      <c r="A31" s="7" t="s">
        <v>290</v>
      </c>
      <c r="B31" s="7">
        <f>VALUE('Survey B'!AK$7)</f>
        <v>2</v>
      </c>
      <c r="C31">
        <f>VALUE('Survey B'!AO$7)</f>
        <v>2</v>
      </c>
      <c r="D31">
        <f>VALUE('Survey B'!AB$7)</f>
        <v>2</v>
      </c>
      <c r="E31">
        <f>VALUE('Survey B'!AE$7)</f>
        <v>2</v>
      </c>
      <c r="F31">
        <f>VALUE('Survey B'!Y$7)</f>
        <v>1</v>
      </c>
      <c r="H31" s="7">
        <f>VALUE('Survey B'!AL$7)</f>
        <v>1</v>
      </c>
      <c r="I31">
        <f>VALUE('Survey B'!AP$7)</f>
        <v>1</v>
      </c>
      <c r="J31">
        <f>VALUE('Survey B'!AC$7)</f>
        <v>3</v>
      </c>
      <c r="K31">
        <f>VALUE('Survey B'!AF$7)</f>
        <v>1</v>
      </c>
      <c r="L31">
        <f>VALUE('Survey B'!Z$7)</f>
        <v>1</v>
      </c>
    </row>
    <row r="32" spans="1:15" x14ac:dyDescent="0.35">
      <c r="A32" s="7" t="s">
        <v>291</v>
      </c>
      <c r="B32" s="9">
        <f>VALUE('Survey D'!F$3)</f>
        <v>4</v>
      </c>
      <c r="C32">
        <f>VALUE('Survey D'!V$3)</f>
        <v>3</v>
      </c>
      <c r="D32">
        <f>VALUE('Survey D'!I$3)</f>
        <v>4</v>
      </c>
      <c r="E32">
        <f>VALUE('Survey D'!L$3)</f>
        <v>2</v>
      </c>
      <c r="F32">
        <f>VALUE('Survey D'!R$3)</f>
        <v>1</v>
      </c>
      <c r="H32" s="9">
        <f>VALUE('Survey D'!G$3)</f>
        <v>4</v>
      </c>
      <c r="I32">
        <f>VALUE('Survey D'!W$3)</f>
        <v>3</v>
      </c>
      <c r="J32">
        <f>VALUE('Survey D'!J$3)</f>
        <v>4</v>
      </c>
      <c r="K32">
        <f>VALUE('Survey D'!M$3)</f>
        <v>2</v>
      </c>
      <c r="L32">
        <f>VALUE('Survey D'!S$3)</f>
        <v>1</v>
      </c>
      <c r="N32">
        <v>7</v>
      </c>
      <c r="O32" t="s">
        <v>304</v>
      </c>
    </row>
    <row r="33" spans="1:15" x14ac:dyDescent="0.35">
      <c r="A33" s="7" t="s">
        <v>291</v>
      </c>
      <c r="B33" s="9">
        <f>VALUE('Survey D'!F$4)</f>
        <v>5</v>
      </c>
      <c r="C33">
        <f>VALUE('Survey D'!V$4)</f>
        <v>4</v>
      </c>
      <c r="D33">
        <f>VALUE('Survey D'!I$4)</f>
        <v>5</v>
      </c>
      <c r="E33">
        <f>VALUE('Survey D'!L$4)</f>
        <v>5</v>
      </c>
      <c r="F33">
        <f>VALUE('Survey D'!R$4)</f>
        <v>4</v>
      </c>
      <c r="H33" s="9">
        <f>VALUE('Survey D'!G$4)</f>
        <v>5</v>
      </c>
      <c r="I33">
        <f>VALUE('Survey D'!W$4)</f>
        <v>3</v>
      </c>
      <c r="J33">
        <f>VALUE('Survey D'!J$4)</f>
        <v>3</v>
      </c>
      <c r="K33">
        <f>VALUE('Survey D'!M$4)</f>
        <v>5</v>
      </c>
      <c r="L33">
        <f>VALUE('Survey D'!S$4)</f>
        <v>3</v>
      </c>
    </row>
    <row r="34" spans="1:15" x14ac:dyDescent="0.35">
      <c r="A34" s="7" t="s">
        <v>291</v>
      </c>
      <c r="B34" s="9">
        <f>VALUE('Survey D'!F$5)</f>
        <v>5</v>
      </c>
      <c r="C34">
        <f>VALUE('Survey D'!V$5)</f>
        <v>2</v>
      </c>
      <c r="D34">
        <f>VALUE('Survey D'!I$5)</f>
        <v>3</v>
      </c>
      <c r="E34">
        <f>VALUE('Survey D'!L$5)</f>
        <v>5</v>
      </c>
      <c r="F34">
        <f>VALUE('Survey D'!R$5)</f>
        <v>2</v>
      </c>
      <c r="H34" s="9">
        <f>VALUE('Survey D'!G$5)</f>
        <v>5</v>
      </c>
      <c r="I34">
        <f>VALUE('Survey D'!W$5)</f>
        <v>1</v>
      </c>
      <c r="J34">
        <f>VALUE('Survey D'!J$5)</f>
        <v>2</v>
      </c>
      <c r="K34">
        <f>VALUE('Survey D'!M$5)</f>
        <v>5</v>
      </c>
      <c r="L34">
        <f>VALUE('Survey D'!S$5)</f>
        <v>1</v>
      </c>
    </row>
    <row r="35" spans="1:15" x14ac:dyDescent="0.35">
      <c r="A35" s="7" t="s">
        <v>291</v>
      </c>
      <c r="B35" s="9">
        <f>VALUE('Survey D'!F$6)</f>
        <v>4</v>
      </c>
      <c r="C35">
        <f>VALUE('Survey D'!V$6)</f>
        <v>4</v>
      </c>
      <c r="D35">
        <f>VALUE('Survey D'!I$6)</f>
        <v>2</v>
      </c>
      <c r="E35">
        <f>VALUE('Survey D'!L$6)</f>
        <v>4</v>
      </c>
      <c r="F35">
        <f>VALUE('Survey D'!R$6)</f>
        <v>2</v>
      </c>
      <c r="H35" s="9">
        <f>VALUE('Survey D'!G$6)</f>
        <v>4</v>
      </c>
      <c r="I35">
        <f>VALUE('Survey D'!W$6)</f>
        <v>4</v>
      </c>
      <c r="J35">
        <f>VALUE('Survey D'!J$6)</f>
        <v>2</v>
      </c>
      <c r="K35">
        <f>VALUE('Survey D'!M$6)</f>
        <v>5</v>
      </c>
      <c r="L35">
        <f>VALUE('Survey D'!S$6)</f>
        <v>2</v>
      </c>
    </row>
    <row r="36" spans="1:15" x14ac:dyDescent="0.35">
      <c r="A36" s="7" t="s">
        <v>291</v>
      </c>
      <c r="B36" s="7">
        <f>VALUE('Survey D'!AK$3)</f>
        <v>5</v>
      </c>
      <c r="C36">
        <f>VALUE('Survey D'!AO$3)</f>
        <v>4</v>
      </c>
      <c r="D36">
        <f>VALUE('Survey D'!AB$3)</f>
        <v>4</v>
      </c>
      <c r="E36">
        <f>VALUE('Survey D'!AE$3)</f>
        <v>3</v>
      </c>
      <c r="F36">
        <f>VALUE('Survey D'!Y$3)</f>
        <v>2</v>
      </c>
      <c r="H36" s="7">
        <f>VALUE('Survey D'!AL$3)</f>
        <v>5</v>
      </c>
      <c r="I36">
        <f>VALUE('Survey D'!AP$3)</f>
        <v>4</v>
      </c>
      <c r="J36">
        <f>VALUE('Survey D'!AC$3)</f>
        <v>2</v>
      </c>
      <c r="K36">
        <f>VALUE('Survey D'!AF$3)</f>
        <v>3</v>
      </c>
      <c r="L36">
        <f>VALUE('Survey D'!Z$3)</f>
        <v>2</v>
      </c>
      <c r="N36">
        <v>8</v>
      </c>
      <c r="O36" t="s">
        <v>305</v>
      </c>
    </row>
    <row r="37" spans="1:15" x14ac:dyDescent="0.35">
      <c r="A37" s="7" t="s">
        <v>291</v>
      </c>
      <c r="B37" s="7">
        <f>VALUE('Survey D'!AK$4)</f>
        <v>4</v>
      </c>
      <c r="C37">
        <f>VALUE('Survey D'!AO$4)</f>
        <v>3</v>
      </c>
      <c r="D37">
        <f>VALUE('Survey D'!AB$4)</f>
        <v>4</v>
      </c>
      <c r="E37">
        <f>VALUE('Survey D'!AE$4)</f>
        <v>5</v>
      </c>
      <c r="F37">
        <f>VALUE('Survey D'!Y$4)</f>
        <v>5</v>
      </c>
      <c r="H37" s="7">
        <f>VALUE('Survey D'!AL$4)</f>
        <v>5</v>
      </c>
      <c r="I37">
        <f>VALUE('Survey D'!AP$4)</f>
        <v>4</v>
      </c>
      <c r="J37">
        <f>VALUE('Survey D'!AC$4)</f>
        <v>3</v>
      </c>
      <c r="K37">
        <f>VALUE('Survey D'!AF$4)</f>
        <v>5</v>
      </c>
      <c r="L37">
        <f>VALUE('Survey D'!Z$4)</f>
        <v>4</v>
      </c>
    </row>
    <row r="38" spans="1:15" x14ac:dyDescent="0.35">
      <c r="A38" s="7" t="s">
        <v>291</v>
      </c>
      <c r="B38" s="7">
        <f>VALUE('Survey D'!AK$5)</f>
        <v>5</v>
      </c>
      <c r="C38">
        <f>VALUE('Survey D'!AO$5)</f>
        <v>4</v>
      </c>
      <c r="D38">
        <f>VALUE('Survey D'!AB$5)</f>
        <v>3</v>
      </c>
      <c r="E38">
        <f>VALUE('Survey D'!AE$5)</f>
        <v>5</v>
      </c>
      <c r="F38">
        <f>VALUE('Survey D'!Y$5)</f>
        <v>5</v>
      </c>
      <c r="H38" s="7">
        <f>VALUE('Survey D'!AL$5)</f>
        <v>5</v>
      </c>
      <c r="I38">
        <f>VALUE('Survey D'!AP$5)</f>
        <v>2</v>
      </c>
      <c r="J38">
        <f>VALUE('Survey D'!AC$5)</f>
        <v>3</v>
      </c>
      <c r="K38">
        <f>VALUE('Survey D'!AF$5)</f>
        <v>3</v>
      </c>
      <c r="L38">
        <f>VALUE('Survey D'!Z$5)</f>
        <v>4</v>
      </c>
    </row>
    <row r="39" spans="1:15" x14ac:dyDescent="0.35">
      <c r="A39" s="7" t="s">
        <v>291</v>
      </c>
      <c r="B39" s="7">
        <f>VALUE('Survey D'!AK$6)</f>
        <v>4</v>
      </c>
      <c r="C39">
        <f>VALUE('Survey D'!AO$6)</f>
        <v>5</v>
      </c>
      <c r="D39">
        <f>VALUE('Survey D'!AB$6)</f>
        <v>3</v>
      </c>
      <c r="E39">
        <f>VALUE('Survey D'!AE$6)</f>
        <v>4</v>
      </c>
      <c r="F39">
        <f>VALUE('Survey D'!Y$6)</f>
        <v>4</v>
      </c>
      <c r="H39" s="7">
        <f>VALUE('Survey D'!AL$6)</f>
        <v>4</v>
      </c>
      <c r="I39">
        <f>VALUE('Survey D'!AP$6)</f>
        <v>4</v>
      </c>
      <c r="J39">
        <f>VALUE('Survey D'!AC$6)</f>
        <v>3</v>
      </c>
      <c r="K39">
        <f>VALUE('Survey D'!AF$6)</f>
        <v>4</v>
      </c>
      <c r="L39">
        <f>VALUE('Survey D'!Z$6)</f>
        <v>5</v>
      </c>
    </row>
    <row r="40" spans="1:15" x14ac:dyDescent="0.35">
      <c r="A40" s="7" t="s">
        <v>292</v>
      </c>
      <c r="B40" s="7">
        <f>VALUE('Survey E'!F3)</f>
        <v>3</v>
      </c>
      <c r="C40">
        <f>VALUE('Survey E'!V$3)</f>
        <v>4</v>
      </c>
      <c r="D40">
        <f>VALUE('Survey E'!I$3)</f>
        <v>4</v>
      </c>
      <c r="E40">
        <f>VALUE('Survey E'!L$3)</f>
        <v>4</v>
      </c>
      <c r="F40">
        <f>VALUE('Survey E'!R$3)</f>
        <v>3</v>
      </c>
      <c r="H40" s="7">
        <f>VALUE('Survey E'!L3)</f>
        <v>4</v>
      </c>
      <c r="I40">
        <f>VALUE('Survey E'!W$3)</f>
        <v>4</v>
      </c>
      <c r="J40">
        <f>VALUE('Survey E'!J$3)</f>
        <v>3</v>
      </c>
      <c r="K40">
        <f>VALUE('Survey E'!M$3)</f>
        <v>4</v>
      </c>
      <c r="L40">
        <f>VALUE('Survey E'!S$3)</f>
        <v>3</v>
      </c>
      <c r="N40">
        <v>9</v>
      </c>
      <c r="O40" t="s">
        <v>306</v>
      </c>
    </row>
    <row r="41" spans="1:15" x14ac:dyDescent="0.35">
      <c r="A41" s="7" t="s">
        <v>292</v>
      </c>
      <c r="B41" s="7">
        <f>VALUE('Survey E'!F4)</f>
        <v>2</v>
      </c>
      <c r="C41">
        <f>VALUE('Survey E'!V$4)</f>
        <v>4</v>
      </c>
      <c r="D41">
        <f>VALUE('Survey E'!I$4)</f>
        <v>3</v>
      </c>
      <c r="E41">
        <f>VALUE('Survey E'!L$4)</f>
        <v>5</v>
      </c>
      <c r="F41">
        <f>VALUE('Survey E'!R$4)</f>
        <v>5</v>
      </c>
      <c r="H41" s="7">
        <f>VALUE('Survey E'!L4)</f>
        <v>5</v>
      </c>
      <c r="I41">
        <f>VALUE('Survey E'!W$4)</f>
        <v>4</v>
      </c>
      <c r="J41">
        <f>VALUE('Survey E'!J$4)</f>
        <v>4</v>
      </c>
      <c r="K41">
        <f>VALUE('Survey E'!M$4)</f>
        <v>5</v>
      </c>
      <c r="L41">
        <f>VALUE('Survey E'!S$4)</f>
        <v>5</v>
      </c>
    </row>
    <row r="42" spans="1:15" x14ac:dyDescent="0.35">
      <c r="A42" s="7" t="s">
        <v>292</v>
      </c>
      <c r="B42" s="7">
        <f>VALUE('Survey E'!F5)</f>
        <v>4</v>
      </c>
      <c r="C42">
        <f>VALUE('Survey E'!V$5)</f>
        <v>4</v>
      </c>
      <c r="D42">
        <f>VALUE('Survey E'!I$5)</f>
        <v>2</v>
      </c>
      <c r="E42">
        <f>VALUE('Survey E'!L$5)</f>
        <v>1</v>
      </c>
      <c r="F42">
        <f>VALUE('Survey E'!R$5)</f>
        <v>3</v>
      </c>
      <c r="H42" s="7">
        <f>VALUE('Survey E'!L5)</f>
        <v>1</v>
      </c>
      <c r="I42">
        <f>VALUE('Survey E'!W$5)</f>
        <v>3</v>
      </c>
      <c r="J42">
        <f>VALUE('Survey E'!J$5)</f>
        <v>1</v>
      </c>
      <c r="K42">
        <f>VALUE('Survey E'!M$5)</f>
        <v>1</v>
      </c>
      <c r="L42">
        <f>VALUE('Survey E'!S$5)</f>
        <v>2</v>
      </c>
    </row>
    <row r="43" spans="1:15" x14ac:dyDescent="0.35">
      <c r="A43" s="7" t="s">
        <v>292</v>
      </c>
      <c r="B43" s="7">
        <f>VALUE('Survey E'!F6)</f>
        <v>2</v>
      </c>
      <c r="C43">
        <f>VALUE('Survey E'!V$6)</f>
        <v>1</v>
      </c>
      <c r="D43">
        <f>VALUE('Survey E'!I$6)</f>
        <v>3</v>
      </c>
      <c r="E43">
        <f>VALUE('Survey E'!L$6)</f>
        <v>3</v>
      </c>
      <c r="F43">
        <f>VALUE('Survey E'!R$6)</f>
        <v>4</v>
      </c>
      <c r="H43" s="7">
        <f>VALUE('Survey E'!L6)</f>
        <v>3</v>
      </c>
      <c r="I43">
        <f>VALUE('Survey E'!W$6)</f>
        <v>1</v>
      </c>
      <c r="J43">
        <f>VALUE('Survey E'!J$6)</f>
        <v>3</v>
      </c>
      <c r="K43">
        <f>VALUE('Survey E'!M$6)</f>
        <v>3</v>
      </c>
      <c r="L43">
        <f>VALUE('Survey E'!S$6)</f>
        <v>4</v>
      </c>
    </row>
    <row r="44" spans="1:15" x14ac:dyDescent="0.35">
      <c r="A44" s="7" t="s">
        <v>292</v>
      </c>
      <c r="B44">
        <f>VALUE('Survey E'!AK$3)</f>
        <v>2</v>
      </c>
      <c r="C44">
        <f>VALUE('Survey E'!AO$3)</f>
        <v>4</v>
      </c>
      <c r="D44">
        <f>VALUE('Survey E'!AB$3)</f>
        <v>4</v>
      </c>
      <c r="E44">
        <f>VALUE('Survey E'!AE$3)</f>
        <v>3</v>
      </c>
      <c r="F44">
        <f>VALUE('Survey E'!Y$3)</f>
        <v>3</v>
      </c>
      <c r="H44">
        <f>VALUE('Survey E'!AL$3)</f>
        <v>2</v>
      </c>
      <c r="I44">
        <f>VALUE('Survey E'!AP$3)</f>
        <v>3</v>
      </c>
      <c r="J44">
        <f>VALUE('Survey E'!AC$3)</f>
        <v>4</v>
      </c>
      <c r="K44">
        <f>VALUE('Survey E'!AF$3)</f>
        <v>3</v>
      </c>
      <c r="L44">
        <f>VALUE('Survey E'!Z$3)</f>
        <v>4</v>
      </c>
      <c r="N44">
        <v>10</v>
      </c>
      <c r="O44" t="s">
        <v>307</v>
      </c>
    </row>
    <row r="45" spans="1:15" x14ac:dyDescent="0.35">
      <c r="A45" s="7" t="s">
        <v>292</v>
      </c>
      <c r="B45">
        <f>VALUE('Survey E'!AK$4)</f>
        <v>3</v>
      </c>
      <c r="C45">
        <f>VALUE('Survey E'!AO$4)</f>
        <v>3</v>
      </c>
      <c r="D45">
        <f>VALUE('Survey E'!AB$4)</f>
        <v>2</v>
      </c>
      <c r="E45">
        <f>VALUE('Survey E'!AE$4)</f>
        <v>5</v>
      </c>
      <c r="F45">
        <f>VALUE('Survey E'!Y$4)</f>
        <v>2</v>
      </c>
      <c r="H45">
        <f>VALUE('Survey E'!AL$4)</f>
        <v>3</v>
      </c>
      <c r="I45">
        <f>VALUE('Survey E'!AP$4)</f>
        <v>3</v>
      </c>
      <c r="J45">
        <f>VALUE('Survey E'!AC$4)</f>
        <v>3</v>
      </c>
      <c r="K45">
        <f>VALUE('Survey E'!AF$4)</f>
        <v>5</v>
      </c>
      <c r="L45">
        <f>VALUE('Survey E'!Z$4)</f>
        <v>2</v>
      </c>
    </row>
    <row r="46" spans="1:15" x14ac:dyDescent="0.35">
      <c r="A46" s="7" t="s">
        <v>292</v>
      </c>
      <c r="B46">
        <f>VALUE('Survey E'!AK$5)</f>
        <v>4</v>
      </c>
      <c r="C46">
        <f>VALUE('Survey E'!AO$5)</f>
        <v>3</v>
      </c>
      <c r="D46">
        <f>VALUE('Survey E'!AB$5)</f>
        <v>5</v>
      </c>
      <c r="E46">
        <f>VALUE('Survey E'!AE$5)</f>
        <v>2</v>
      </c>
      <c r="F46">
        <f>VALUE('Survey E'!Y$5)</f>
        <v>4</v>
      </c>
      <c r="H46">
        <f>VALUE('Survey E'!AL$5)</f>
        <v>4</v>
      </c>
      <c r="I46">
        <f>VALUE('Survey E'!AP$5)</f>
        <v>2</v>
      </c>
      <c r="J46">
        <f>VALUE('Survey E'!AC$5)</f>
        <v>5</v>
      </c>
      <c r="K46">
        <f>VALUE('Survey E'!AF$5)</f>
        <v>1</v>
      </c>
      <c r="L46">
        <f>VALUE('Survey E'!Z$5)</f>
        <v>3</v>
      </c>
    </row>
    <row r="47" spans="1:15" x14ac:dyDescent="0.35">
      <c r="A47" s="7" t="s">
        <v>292</v>
      </c>
      <c r="B47">
        <f>VALUE('Survey E'!AK$6)</f>
        <v>4</v>
      </c>
      <c r="C47">
        <f>VALUE('Survey E'!AO$6)</f>
        <v>4</v>
      </c>
      <c r="D47">
        <f>VALUE('Survey E'!AB$6)</f>
        <v>3</v>
      </c>
      <c r="E47">
        <f>VALUE('Survey E'!AE$6)</f>
        <v>3</v>
      </c>
      <c r="F47">
        <f>VALUE('Survey E'!Y$6)</f>
        <v>2</v>
      </c>
      <c r="H47">
        <f>VALUE('Survey E'!AL$6)</f>
        <v>3</v>
      </c>
      <c r="I47">
        <f>VALUE('Survey E'!AP$6)</f>
        <v>4</v>
      </c>
      <c r="J47">
        <f>VALUE('Survey E'!AC$6)</f>
        <v>3</v>
      </c>
      <c r="K47">
        <f>VALUE('Survey E'!AF$6)</f>
        <v>3</v>
      </c>
      <c r="L47">
        <f>VALUE('Survey E'!Z$6)</f>
        <v>2</v>
      </c>
    </row>
    <row r="49" spans="1:12" x14ac:dyDescent="0.35">
      <c r="B49" s="10">
        <f>AVERAGE(B2:B47)</f>
        <v>3.3043478260869565</v>
      </c>
      <c r="C49" s="10">
        <f t="shared" ref="C49:L49" si="0">AVERAGE(C2:C47)</f>
        <v>2.7173913043478262</v>
      </c>
      <c r="D49" s="10">
        <f t="shared" si="0"/>
        <v>3.1739130434782608</v>
      </c>
      <c r="E49" s="10">
        <f t="shared" si="0"/>
        <v>3</v>
      </c>
      <c r="F49" s="10">
        <f t="shared" si="0"/>
        <v>2.8260869565217392</v>
      </c>
      <c r="G49" s="10"/>
      <c r="H49" s="10">
        <f t="shared" si="0"/>
        <v>3.3913043478260869</v>
      </c>
      <c r="I49" s="10">
        <f t="shared" si="0"/>
        <v>2.4565217391304346</v>
      </c>
      <c r="J49" s="10">
        <f t="shared" si="0"/>
        <v>3.4347826086956523</v>
      </c>
      <c r="K49" s="10">
        <f t="shared" si="0"/>
        <v>2.9130434782608696</v>
      </c>
      <c r="L49" s="10">
        <f t="shared" si="0"/>
        <v>2.9130434782608696</v>
      </c>
    </row>
    <row r="50" spans="1:12" x14ac:dyDescent="0.35">
      <c r="A50" s="7" t="s">
        <v>296</v>
      </c>
      <c r="C50">
        <v>1.72E-2</v>
      </c>
      <c r="D50">
        <v>0.57350000000000001</v>
      </c>
      <c r="E50">
        <v>0.2412</v>
      </c>
      <c r="F50">
        <v>6.3700000000000007E-2</v>
      </c>
      <c r="I50">
        <v>1E-3</v>
      </c>
      <c r="J50">
        <v>0.86380000000000001</v>
      </c>
      <c r="K50">
        <v>0.105</v>
      </c>
      <c r="L50">
        <v>0.1012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Survey A</vt:lpstr>
      <vt:lpstr>Survey B</vt:lpstr>
      <vt:lpstr>Survey C</vt:lpstr>
      <vt:lpstr>Survey D</vt:lpstr>
      <vt:lpstr>Survey E</vt:lpstr>
      <vt:lpstr>Aggregated</vt:lpstr>
      <vt:lpstr>Ratings_By_Method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dc:creator>
  <cp:lastModifiedBy>Keshav Bhandari</cp:lastModifiedBy>
  <dcterms:created xsi:type="dcterms:W3CDTF">2015-06-05T18:19:34Z</dcterms:created>
  <dcterms:modified xsi:type="dcterms:W3CDTF">2026-03-31T13:00:56Z</dcterms:modified>
</cp:coreProperties>
</file>